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Desktop working\"/>
    </mc:Choice>
  </mc:AlternateContent>
  <xr:revisionPtr revIDLastSave="0" documentId="13_ncr:1_{3E98C8A8-480D-48BD-8F84-BEA9C184D224}" xr6:coauthVersionLast="47" xr6:coauthVersionMax="47" xr10:uidLastSave="{00000000-0000-0000-0000-000000000000}"/>
  <bookViews>
    <workbookView xWindow="-98" yWindow="-98" windowWidth="21795" windowHeight="12975" tabRatio="450" firstSheet="1" activeTab="3" xr2:uid="{00000000-000D-0000-FFFF-FFFF00000000}"/>
  </bookViews>
  <sheets>
    <sheet name="Spotify" sheetId="1" r:id="rId1"/>
    <sheet name="Spotify1 " sheetId="2" r:id="rId2"/>
    <sheet name="Spotify2" sheetId="5" r:id="rId3"/>
    <sheet name="Pivot Table" sheetId="7" r:id="rId4"/>
    <sheet name="Music Arstist Streming Dashboar" sheetId="6" r:id="rId5"/>
  </sheets>
  <externalReferences>
    <externalReference r:id="rId6"/>
  </externalReferences>
  <definedNames>
    <definedName name="Spotify">Table23[[#All],[Artist Name]:[Debut Year]]</definedName>
    <definedName name="Spotify1">Table23[#All]</definedName>
  </definedNames>
  <calcPr calcId="191029" iterateDelta="1E-4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2" l="1"/>
  <c r="N22" i="2"/>
  <c r="N21" i="2"/>
  <c r="N20" i="2"/>
  <c r="N19" i="2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J14" i="5"/>
  <c r="J15" i="5"/>
  <c r="H6" i="6"/>
  <c r="F6" i="6"/>
  <c r="D6" i="6"/>
  <c r="B6" i="6"/>
  <c r="J3" i="5"/>
  <c r="J4" i="5"/>
  <c r="J5" i="5"/>
  <c r="J6" i="5"/>
  <c r="J7" i="5"/>
  <c r="J8" i="5"/>
  <c r="J9" i="5"/>
  <c r="J10" i="5"/>
  <c r="J11" i="5"/>
  <c r="J12" i="5"/>
  <c r="J13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2" i="5"/>
  <c r="B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</calcChain>
</file>

<file path=xl/sharedStrings.xml><?xml version="1.0" encoding="utf-8"?>
<sst xmlns="http://schemas.openxmlformats.org/spreadsheetml/2006/main" count="6636" uniqueCount="616">
  <si>
    <t>Drake</t>
  </si>
  <si>
    <t>Male</t>
  </si>
  <si>
    <t>Canada</t>
  </si>
  <si>
    <t>English</t>
  </si>
  <si>
    <t>Hip-Hop</t>
  </si>
  <si>
    <t>Solo</t>
  </si>
  <si>
    <t>Taylor Swift</t>
  </si>
  <si>
    <t>Female</t>
  </si>
  <si>
    <t>United States</t>
  </si>
  <si>
    <t>Pop</t>
  </si>
  <si>
    <t>Bad Bunny</t>
  </si>
  <si>
    <t>Spanish</t>
  </si>
  <si>
    <t>Reggaeton</t>
  </si>
  <si>
    <t>The Weeknd</t>
  </si>
  <si>
    <t>R&amp;B</t>
  </si>
  <si>
    <t>Justin Bieber</t>
  </si>
  <si>
    <t>Ariana Grande</t>
  </si>
  <si>
    <t>Travis Scott</t>
  </si>
  <si>
    <t>Kanye West</t>
  </si>
  <si>
    <t>Ed Sheeran</t>
  </si>
  <si>
    <t>United Kingdom</t>
  </si>
  <si>
    <t>Eminem</t>
  </si>
  <si>
    <t>Rihanna</t>
  </si>
  <si>
    <t>Barbados</t>
  </si>
  <si>
    <t>Billie Eilish</t>
  </si>
  <si>
    <t>Bruno Mars</t>
  </si>
  <si>
    <t>Kendrick Lamar</t>
  </si>
  <si>
    <t>Post Malone</t>
  </si>
  <si>
    <t>J Balvin</t>
  </si>
  <si>
    <t>Colombia</t>
  </si>
  <si>
    <t>Future</t>
  </si>
  <si>
    <t>BTS</t>
  </si>
  <si>
    <t>South Korea</t>
  </si>
  <si>
    <t>Korean</t>
  </si>
  <si>
    <t>K-Pop</t>
  </si>
  <si>
    <t>Group</t>
  </si>
  <si>
    <t>Ozuna</t>
  </si>
  <si>
    <t>Coldplay</t>
  </si>
  <si>
    <t>Rock</t>
  </si>
  <si>
    <t>Juice WRLD</t>
  </si>
  <si>
    <t>Chris Brown</t>
  </si>
  <si>
    <t>Nicki Minaj</t>
  </si>
  <si>
    <t>Trinidad and Tobago</t>
  </si>
  <si>
    <t>Lana Del Rey</t>
  </si>
  <si>
    <t>Alternative</t>
  </si>
  <si>
    <t>David Guetta</t>
  </si>
  <si>
    <t>France</t>
  </si>
  <si>
    <t>EDM</t>
  </si>
  <si>
    <t>Dua Lipa</t>
  </si>
  <si>
    <t>Daddy Yankee</t>
  </si>
  <si>
    <t>Rauw Alejandro</t>
  </si>
  <si>
    <t>Anuel AA</t>
  </si>
  <si>
    <t>XXXTENTACION</t>
  </si>
  <si>
    <t>Imagine Dragons</t>
  </si>
  <si>
    <t>Lil Wayne</t>
  </si>
  <si>
    <t>21 Savage</t>
  </si>
  <si>
    <t>SZA</t>
  </si>
  <si>
    <t>Arijit Singh</t>
  </si>
  <si>
    <t>India</t>
  </si>
  <si>
    <t>Hindi</t>
  </si>
  <si>
    <t>Filmi</t>
  </si>
  <si>
    <t>Lady Gaga</t>
  </si>
  <si>
    <t>KAROL G</t>
  </si>
  <si>
    <t>Lil Baby</t>
  </si>
  <si>
    <t>Maroon 5</t>
  </si>
  <si>
    <t>Mixed</t>
  </si>
  <si>
    <t>Khalid</t>
  </si>
  <si>
    <t>Beyoncé</t>
  </si>
  <si>
    <t>Maluma</t>
  </si>
  <si>
    <t>Latin</t>
  </si>
  <si>
    <t>Feid</t>
  </si>
  <si>
    <t>Calvin Harris</t>
  </si>
  <si>
    <t>Scotland</t>
  </si>
  <si>
    <t>Myke Towers</t>
  </si>
  <si>
    <t>Linkin Park</t>
  </si>
  <si>
    <t>Peso Pluma</t>
  </si>
  <si>
    <t>Mexico</t>
  </si>
  <si>
    <t>Regional Mexican</t>
  </si>
  <si>
    <t>J. Cole</t>
  </si>
  <si>
    <t>Lil Uzi Vert</t>
  </si>
  <si>
    <t>Sia</t>
  </si>
  <si>
    <t>Australia</t>
  </si>
  <si>
    <t>Doja Cat</t>
  </si>
  <si>
    <t>Shakira</t>
  </si>
  <si>
    <t>Morgan Wallen</t>
  </si>
  <si>
    <t>Country</t>
  </si>
  <si>
    <t>Young Thug</t>
  </si>
  <si>
    <t>Farruko</t>
  </si>
  <si>
    <t>Shawn Mendes</t>
  </si>
  <si>
    <t>Harry Styles</t>
  </si>
  <si>
    <t>Queen</t>
  </si>
  <si>
    <t>Sam Smith</t>
  </si>
  <si>
    <t>One Direction</t>
  </si>
  <si>
    <t>Metro Boomin</t>
  </si>
  <si>
    <t>Olivia Rodrigo</t>
  </si>
  <si>
    <t>Adele</t>
  </si>
  <si>
    <t>Pritam</t>
  </si>
  <si>
    <t>Katy Perry</t>
  </si>
  <si>
    <t>Gunna</t>
  </si>
  <si>
    <t>Arctic Monkeys</t>
  </si>
  <si>
    <t>Fuerza Regida</t>
  </si>
  <si>
    <t>Junior H</t>
  </si>
  <si>
    <t>Tyler, The Creator</t>
  </si>
  <si>
    <t>Selena Gomez</t>
  </si>
  <si>
    <t>Ty Dolla $ign</t>
  </si>
  <si>
    <t>The Beatles</t>
  </si>
  <si>
    <t>Pitbull</t>
  </si>
  <si>
    <t>Nicky Jam</t>
  </si>
  <si>
    <t>Playboi Carti</t>
  </si>
  <si>
    <t>Halsey</t>
  </si>
  <si>
    <t>Wiz Khalifa</t>
  </si>
  <si>
    <t>Michael Jackson</t>
  </si>
  <si>
    <t>Sabrina Carpenter</t>
  </si>
  <si>
    <t>Frank Ocean</t>
  </si>
  <si>
    <t>Die drei ???</t>
  </si>
  <si>
    <t>Germany</t>
  </si>
  <si>
    <t>German</t>
  </si>
  <si>
    <t>Spoken Word</t>
  </si>
  <si>
    <t>JAŸ-Z</t>
  </si>
  <si>
    <t>A$AP Rocky</t>
  </si>
  <si>
    <t>Miley Cyrus</t>
  </si>
  <si>
    <t>The Chainsmokers</t>
  </si>
  <si>
    <t>Marshmello</t>
  </si>
  <si>
    <t>Cardi B</t>
  </si>
  <si>
    <t>Twenty One Pilots</t>
  </si>
  <si>
    <t>Disney</t>
  </si>
  <si>
    <t>Soundtrack</t>
  </si>
  <si>
    <t>Arcángel</t>
  </si>
  <si>
    <t>Red Hot Chili Peppers</t>
  </si>
  <si>
    <t>Camila Cabello</t>
  </si>
  <si>
    <t>Cuba</t>
  </si>
  <si>
    <t>$uicideboy$</t>
  </si>
  <si>
    <t>OneRepublic</t>
  </si>
  <si>
    <t>Avicii</t>
  </si>
  <si>
    <t>Sweden</t>
  </si>
  <si>
    <t>Diplo</t>
  </si>
  <si>
    <t>Snoop Dogg</t>
  </si>
  <si>
    <t>Romeo Santos</t>
  </si>
  <si>
    <t>Bachata</t>
  </si>
  <si>
    <t>50 Cent</t>
  </si>
  <si>
    <t>Natanael Cano</t>
  </si>
  <si>
    <t>YoungBoy Never Broke Again</t>
  </si>
  <si>
    <t>Mac Miller</t>
  </si>
  <si>
    <t>DaBaby</t>
  </si>
  <si>
    <t>Don Toliver</t>
  </si>
  <si>
    <t>Zach Bryan</t>
  </si>
  <si>
    <t>Kygo</t>
  </si>
  <si>
    <t>Norway</t>
  </si>
  <si>
    <t>Sech</t>
  </si>
  <si>
    <t>Panama</t>
  </si>
  <si>
    <t>The Neighbourhood</t>
  </si>
  <si>
    <t>Quavo</t>
  </si>
  <si>
    <t>Henrique &amp; Juliano</t>
  </si>
  <si>
    <t>Brazil</t>
  </si>
  <si>
    <t>Portuguese</t>
  </si>
  <si>
    <t>Sertanjeo</t>
  </si>
  <si>
    <t>Luke Combs</t>
  </si>
  <si>
    <t>Elton John</t>
  </si>
  <si>
    <t>Manuel Turizo</t>
  </si>
  <si>
    <t>Trippie Redd</t>
  </si>
  <si>
    <t>Tate McRae</t>
  </si>
  <si>
    <t>Lil Peep</t>
  </si>
  <si>
    <t>Metallica</t>
  </si>
  <si>
    <t>Don Omar</t>
  </si>
  <si>
    <t>USHER</t>
  </si>
  <si>
    <t>Charlie Puth</t>
  </si>
  <si>
    <t>Justin Timberlake</t>
  </si>
  <si>
    <t>Tiësto</t>
  </si>
  <si>
    <t>Netherlands</t>
  </si>
  <si>
    <t>Sean Paul</t>
  </si>
  <si>
    <t>Jamaica</t>
  </si>
  <si>
    <t>Reggae</t>
  </si>
  <si>
    <t>Tyga</t>
  </si>
  <si>
    <t>Kali Uchis</t>
  </si>
  <si>
    <t>Kodak Black</t>
  </si>
  <si>
    <t>Jason Derulo</t>
  </si>
  <si>
    <t>BLACKPINK</t>
  </si>
  <si>
    <t>JHAYCO</t>
  </si>
  <si>
    <t>Bebe Rexha</t>
  </si>
  <si>
    <t>Daft Punk</t>
  </si>
  <si>
    <t>Luis Miguel</t>
  </si>
  <si>
    <t>Demi Lovato</t>
  </si>
  <si>
    <t>Akon</t>
  </si>
  <si>
    <t>Senegal</t>
  </si>
  <si>
    <t>AC/DC</t>
  </si>
  <si>
    <t>Sebastian Yatra</t>
  </si>
  <si>
    <t>Carín León</t>
  </si>
  <si>
    <t>Alan Walker</t>
  </si>
  <si>
    <t>A Boogie Wit da Hoodie</t>
  </si>
  <si>
    <t>Fleetwood Mac</t>
  </si>
  <si>
    <t>Hozier</t>
  </si>
  <si>
    <t>Ireland</t>
  </si>
  <si>
    <t>Ellie Goulding</t>
  </si>
  <si>
    <t>Radiohead</t>
  </si>
  <si>
    <t>Big Sean</t>
  </si>
  <si>
    <t>Flo Rida</t>
  </si>
  <si>
    <t>P!nk</t>
  </si>
  <si>
    <t>Nirvana</t>
  </si>
  <si>
    <t>Pop Smoke</t>
  </si>
  <si>
    <t>Britney Spears</t>
  </si>
  <si>
    <t>James Arthur</t>
  </si>
  <si>
    <t>Tory Lanez</t>
  </si>
  <si>
    <t>Pharrell Williams</t>
  </si>
  <si>
    <t>DJ Snake</t>
  </si>
  <si>
    <t>Daniel Caesar</t>
  </si>
  <si>
    <t>Black Eyed Peas</t>
  </si>
  <si>
    <t>Swae Lee</t>
  </si>
  <si>
    <t>Shreya Ghoshal</t>
  </si>
  <si>
    <t>Duki</t>
  </si>
  <si>
    <t>Argentina</t>
  </si>
  <si>
    <t>Bizarrap</t>
  </si>
  <si>
    <t>Migos</t>
  </si>
  <si>
    <t>The Kid LAROI</t>
  </si>
  <si>
    <t>Marília Mendonça</t>
  </si>
  <si>
    <t>Anitta</t>
  </si>
  <si>
    <t>Green Day</t>
  </si>
  <si>
    <t>Lil Durk</t>
  </si>
  <si>
    <t>Polo G</t>
  </si>
  <si>
    <t>A.R. Rahman</t>
  </si>
  <si>
    <t>Tamil</t>
  </si>
  <si>
    <t>G-Eazy</t>
  </si>
  <si>
    <t>Kid Cudi</t>
  </si>
  <si>
    <t>Justin Quiles</t>
  </si>
  <si>
    <t>Bob Marley &amp; The Wailers</t>
  </si>
  <si>
    <t>Stray Kids</t>
  </si>
  <si>
    <t>Anirudh Ravichander</t>
  </si>
  <si>
    <t>Ne-Yo</t>
  </si>
  <si>
    <t>Gucci Mane</t>
  </si>
  <si>
    <t>ROSALÍA</t>
  </si>
  <si>
    <t>Spain</t>
  </si>
  <si>
    <t>Charli xcx</t>
  </si>
  <si>
    <t>Joji</t>
  </si>
  <si>
    <t>Japan</t>
  </si>
  <si>
    <t>Fall Out Boy</t>
  </si>
  <si>
    <t>PARTYNEXTDOOR</t>
  </si>
  <si>
    <t>Jorge &amp; Mateus</t>
  </si>
  <si>
    <t>Offset</t>
  </si>
  <si>
    <t>Panic! At The Disco</t>
  </si>
  <si>
    <t>Tame Impala</t>
  </si>
  <si>
    <t>Quevedo</t>
  </si>
  <si>
    <t>Morat</t>
  </si>
  <si>
    <t>Zara Larsson</t>
  </si>
  <si>
    <t>Tito Double P</t>
  </si>
  <si>
    <t>Jul</t>
  </si>
  <si>
    <t>French</t>
  </si>
  <si>
    <t>2Pac</t>
  </si>
  <si>
    <t>Gorillaz</t>
  </si>
  <si>
    <t>Lewis Capaldi</t>
  </si>
  <si>
    <t>Grupo Frontera</t>
  </si>
  <si>
    <t>Camilo</t>
  </si>
  <si>
    <t>Lenny Tavárez</t>
  </si>
  <si>
    <t>2 Chainz</t>
  </si>
  <si>
    <t>NF</t>
  </si>
  <si>
    <t>Bryson Tiller</t>
  </si>
  <si>
    <t>Rels B</t>
  </si>
  <si>
    <t>Roddy Ricch</t>
  </si>
  <si>
    <t>Guns N' Roses</t>
  </si>
  <si>
    <t>Mariah Carey</t>
  </si>
  <si>
    <t>Noah Kahan</t>
  </si>
  <si>
    <t>Folk</t>
  </si>
  <si>
    <t>Megan Thee Stallion</t>
  </si>
  <si>
    <t>Christian Nodal</t>
  </si>
  <si>
    <t>Brent Faiyaz</t>
  </si>
  <si>
    <t>Martin Garrix</t>
  </si>
  <si>
    <t>Banda MS de Sergio Lizárraga</t>
  </si>
  <si>
    <t>Pink Floyd</t>
  </si>
  <si>
    <t>mgk</t>
  </si>
  <si>
    <t>Wisin &amp; Yandel</t>
  </si>
  <si>
    <t>Dr. Dre</t>
  </si>
  <si>
    <t>Mora</t>
  </si>
  <si>
    <t>Cigarettes After Sex</t>
  </si>
  <si>
    <t>Childish Gambino</t>
  </si>
  <si>
    <t>Wisin</t>
  </si>
  <si>
    <t>Major Lazer</t>
  </si>
  <si>
    <t>John Mayer</t>
  </si>
  <si>
    <t>Miguel</t>
  </si>
  <si>
    <t>Lil Nas X</t>
  </si>
  <si>
    <t>System Of A Down</t>
  </si>
  <si>
    <t>Metal</t>
  </si>
  <si>
    <t>Logic</t>
  </si>
  <si>
    <t>ABBA</t>
  </si>
  <si>
    <t>Becky G</t>
  </si>
  <si>
    <t>Yandel</t>
  </si>
  <si>
    <t>Enrique Iglesias</t>
  </si>
  <si>
    <t>Lil Yachty</t>
  </si>
  <si>
    <t>Luis R Conriquez</t>
  </si>
  <si>
    <t>Zion &amp; Lennox</t>
  </si>
  <si>
    <t>5 Seconds of Summer</t>
  </si>
  <si>
    <t>Jack Harlow</t>
  </si>
  <si>
    <t>TWICE</t>
  </si>
  <si>
    <t>Ñengo Flow</t>
  </si>
  <si>
    <t>Ava Max</t>
  </si>
  <si>
    <t>ZAYN</t>
  </si>
  <si>
    <t>Michael Bublé</t>
  </si>
  <si>
    <t>Macklemore</t>
  </si>
  <si>
    <t>Anne-Marie</t>
  </si>
  <si>
    <t>The Rolling Stones</t>
  </si>
  <si>
    <t>Frank Sinatra</t>
  </si>
  <si>
    <t>Robin Schulz</t>
  </si>
  <si>
    <t>Bryant Myers</t>
  </si>
  <si>
    <t>Gusttavo Lima</t>
  </si>
  <si>
    <t>Eladio Carrion</t>
  </si>
  <si>
    <t>Grupo Firme</t>
  </si>
  <si>
    <t>Amitabh Bhattacharya</t>
  </si>
  <si>
    <t>Alicia Keys</t>
  </si>
  <si>
    <t>Kesha</t>
  </si>
  <si>
    <t>LAUV</t>
  </si>
  <si>
    <t>Madonna</t>
  </si>
  <si>
    <t>Reik</t>
  </si>
  <si>
    <t>John Legend</t>
  </si>
  <si>
    <t>Meghan Trainor</t>
  </si>
  <si>
    <t>Lil Tecca</t>
  </si>
  <si>
    <t>Lorde</t>
  </si>
  <si>
    <t>New Zealand</t>
  </si>
  <si>
    <t>MC Ryan SP</t>
  </si>
  <si>
    <t>Chris Stapleton</t>
  </si>
  <si>
    <t>French Montana</t>
  </si>
  <si>
    <t>Morocco</t>
  </si>
  <si>
    <t>Melanie Martinez</t>
  </si>
  <si>
    <t>Elvis Presley</t>
  </si>
  <si>
    <t>Rick Ross</t>
  </si>
  <si>
    <t>Cris MJ</t>
  </si>
  <si>
    <t>Chile</t>
  </si>
  <si>
    <t>Zedd</t>
  </si>
  <si>
    <t>Russia</t>
  </si>
  <si>
    <t>Paramore</t>
  </si>
  <si>
    <t>Chance the Rapper</t>
  </si>
  <si>
    <t>Ninho</t>
  </si>
  <si>
    <t>blackbear</t>
  </si>
  <si>
    <t>Creedence Clearwater Revival</t>
  </si>
  <si>
    <t>T-Pain</t>
  </si>
  <si>
    <t>Jung Kook</t>
  </si>
  <si>
    <t>Skrillex</t>
  </si>
  <si>
    <t>DJ Khaled</t>
  </si>
  <si>
    <t>Wizkid</t>
  </si>
  <si>
    <t>Nigeria</t>
  </si>
  <si>
    <t>Afrobeats</t>
  </si>
  <si>
    <t>Oasis</t>
  </si>
  <si>
    <t>Christina Aguilera</t>
  </si>
  <si>
    <t>Slipknot</t>
  </si>
  <si>
    <t>Irshad Kamil</t>
  </si>
  <si>
    <t>Little Mix</t>
  </si>
  <si>
    <t>Beéle</t>
  </si>
  <si>
    <t>The Notorious B.I.G.</t>
  </si>
  <si>
    <t>Mitski</t>
  </si>
  <si>
    <t>Tainy</t>
  </si>
  <si>
    <t>Zé Neto &amp; Cristiano</t>
  </si>
  <si>
    <t>Rammstein</t>
  </si>
  <si>
    <t>Labrinth</t>
  </si>
  <si>
    <t>Chencho Corleone</t>
  </si>
  <si>
    <t>Darell</t>
  </si>
  <si>
    <t>Bon Jovi</t>
  </si>
  <si>
    <t>The Killers</t>
  </si>
  <si>
    <t>blink-182</t>
  </si>
  <si>
    <t>Summer Walker</t>
  </si>
  <si>
    <t>Jhené Aiko</t>
  </si>
  <si>
    <t>Kehlani</t>
  </si>
  <si>
    <t>Clean Bandit</t>
  </si>
  <si>
    <t>David Bowie</t>
  </si>
  <si>
    <t>U2</t>
  </si>
  <si>
    <t>Aventura</t>
  </si>
  <si>
    <t>Foo Fighters</t>
  </si>
  <si>
    <t>The 1975</t>
  </si>
  <si>
    <t>Maria Becerra</t>
  </si>
  <si>
    <t>Plan B</t>
  </si>
  <si>
    <t>Steve Lacy</t>
  </si>
  <si>
    <t>De La Ghetto</t>
  </si>
  <si>
    <t>Troye Sivan</t>
  </si>
  <si>
    <t>South Africa</t>
  </si>
  <si>
    <t>Conan Gray</t>
  </si>
  <si>
    <t>Ludacris</t>
  </si>
  <si>
    <t>Burna Boy</t>
  </si>
  <si>
    <t>Danny Ocean</t>
  </si>
  <si>
    <t>Venezuela</t>
  </si>
  <si>
    <t>Meek Mill</t>
  </si>
  <si>
    <t>My Chemical Romance</t>
  </si>
  <si>
    <t>Alessia Cara</t>
  </si>
  <si>
    <t>Vishal-Shekhar</t>
  </si>
  <si>
    <t>Paulo Londra</t>
  </si>
  <si>
    <t>La Arrolladora Banda El Limón De Rene Camacho</t>
  </si>
  <si>
    <t>Yeat</t>
  </si>
  <si>
    <t>Matheus &amp; Kauan</t>
  </si>
  <si>
    <t>Alok</t>
  </si>
  <si>
    <t>Bring Me The Horizon</t>
  </si>
  <si>
    <t>Central Cee</t>
  </si>
  <si>
    <t>League of Legends</t>
  </si>
  <si>
    <t>Mac DeMarco</t>
  </si>
  <si>
    <t>Benson Boone</t>
  </si>
  <si>
    <t>Dalex</t>
  </si>
  <si>
    <t>Nickelback</t>
  </si>
  <si>
    <t>Marc Anthony</t>
  </si>
  <si>
    <t>Maná</t>
  </si>
  <si>
    <t>Led Zeppelin</t>
  </si>
  <si>
    <t>Måneskin</t>
  </si>
  <si>
    <t>Italy</t>
  </si>
  <si>
    <t>Italian</t>
  </si>
  <si>
    <t>Florida Georgia Line</t>
  </si>
  <si>
    <t>Luis Fonsi</t>
  </si>
  <si>
    <t>RAYE</t>
  </si>
  <si>
    <t>Neton Vega</t>
  </si>
  <si>
    <t>Gracie Abrams</t>
  </si>
  <si>
    <t>Timbaland</t>
  </si>
  <si>
    <t>Jeremih</t>
  </si>
  <si>
    <t>The Lumineers</t>
  </si>
  <si>
    <t>Oscar Maydon</t>
  </si>
  <si>
    <t>Anderson .Paak</t>
  </si>
  <si>
    <t>Chase Atlantic</t>
  </si>
  <si>
    <t>Julión Álvarez y su Norteño Banda</t>
  </si>
  <si>
    <t>Prince Royce</t>
  </si>
  <si>
    <t>Bastille</t>
  </si>
  <si>
    <t>Sfera Ebbasta</t>
  </si>
  <si>
    <t>Florence + The Machine</t>
  </si>
  <si>
    <t>YG</t>
  </si>
  <si>
    <t>Alejandro Sanz</t>
  </si>
  <si>
    <t>Lil Tjay</t>
  </si>
  <si>
    <t>GIVĒON</t>
  </si>
  <si>
    <t>Billy Joel</t>
  </si>
  <si>
    <t>Luke Bryan</t>
  </si>
  <si>
    <t>Muse</t>
  </si>
  <si>
    <t>Jonas Blue</t>
  </si>
  <si>
    <t>Teddy Swims</t>
  </si>
  <si>
    <t>Juanes</t>
  </si>
  <si>
    <t>Jennifer Lopez</t>
  </si>
  <si>
    <t>Cartel De Santa</t>
  </si>
  <si>
    <t>T.I.</t>
  </si>
  <si>
    <t>Gabito Ballesteros</t>
  </si>
  <si>
    <t>El Alfa</t>
  </si>
  <si>
    <t>Dominican Republic</t>
  </si>
  <si>
    <t>Alka Yagnik</t>
  </si>
  <si>
    <t>Blessd</t>
  </si>
  <si>
    <t>NATTI NATASHA</t>
  </si>
  <si>
    <t>Bruce Springsteen</t>
  </si>
  <si>
    <t>Alfredo Olivas</t>
  </si>
  <si>
    <t>Jonas Brothers</t>
  </si>
  <si>
    <t>Hans Zimmer</t>
  </si>
  <si>
    <t>Julia Michaels</t>
  </si>
  <si>
    <t>Deftones</t>
  </si>
  <si>
    <t>Clairo</t>
  </si>
  <si>
    <t>Whitney Houston</t>
  </si>
  <si>
    <t>Tove Lo</t>
  </si>
  <si>
    <t>DJ Luian</t>
  </si>
  <si>
    <t>Amy Winehouse</t>
  </si>
  <si>
    <t>Soul</t>
  </si>
  <si>
    <t>TV Girl</t>
  </si>
  <si>
    <t>Tanishk Bagchi</t>
  </si>
  <si>
    <t>Dave</t>
  </si>
  <si>
    <t>Avril Lavigne</t>
  </si>
  <si>
    <t>Lost Frequencies</t>
  </si>
  <si>
    <t>Belgium</t>
  </si>
  <si>
    <t>Kings of Leon</t>
  </si>
  <si>
    <t>Joan Sebastian</t>
  </si>
  <si>
    <t>Alejandro Fernández</t>
  </si>
  <si>
    <t>Glass Animals</t>
  </si>
  <si>
    <t>Sachin-Jigar</t>
  </si>
  <si>
    <t>Fetty Wap</t>
  </si>
  <si>
    <t>NAV</t>
  </si>
  <si>
    <t>Jack Johnson</t>
  </si>
  <si>
    <t>SEVENTEEN</t>
  </si>
  <si>
    <t>The Script</t>
  </si>
  <si>
    <t>TINI</t>
  </si>
  <si>
    <t>Backstreet Boys</t>
  </si>
  <si>
    <t>Jimin</t>
  </si>
  <si>
    <t>Mambo Kingz</t>
  </si>
  <si>
    <t>NLE Choppa</t>
  </si>
  <si>
    <t>GIMS</t>
  </si>
  <si>
    <t>DR Congo</t>
  </si>
  <si>
    <t>Calibre 50</t>
  </si>
  <si>
    <t>Chappell Roan</t>
  </si>
  <si>
    <t>Stevie Wonder</t>
  </si>
  <si>
    <t>Juicy J</t>
  </si>
  <si>
    <t>Mark Ronson</t>
  </si>
  <si>
    <t>Kelly Clarkson</t>
  </si>
  <si>
    <t>The Offspring</t>
  </si>
  <si>
    <t>Bonez MC</t>
  </si>
  <si>
    <t>Bibi Blocksberg</t>
  </si>
  <si>
    <t>Children's Music</t>
  </si>
  <si>
    <t>Milo j</t>
  </si>
  <si>
    <t>Jay Wheeler</t>
  </si>
  <si>
    <t>felix jaehn</t>
  </si>
  <si>
    <t>Niall Horan</t>
  </si>
  <si>
    <t>6ix9ine</t>
  </si>
  <si>
    <t>Nate Dogg</t>
  </si>
  <si>
    <t>Noriel</t>
  </si>
  <si>
    <t>Vicente Fernández</t>
  </si>
  <si>
    <t>Three Days Grace</t>
  </si>
  <si>
    <t>Aerosmith</t>
  </si>
  <si>
    <t>Bee Gees</t>
  </si>
  <si>
    <t>Udit Narayan</t>
  </si>
  <si>
    <t>Nepal</t>
  </si>
  <si>
    <t>Piso 21</t>
  </si>
  <si>
    <t>Rod Wave</t>
  </si>
  <si>
    <t>Vance Joy</t>
  </si>
  <si>
    <t>Bon Iver</t>
  </si>
  <si>
    <t>Eslabon Armado</t>
  </si>
  <si>
    <t>JENNIE</t>
  </si>
  <si>
    <t>Russ</t>
  </si>
  <si>
    <t>Rae Sremmurd</t>
  </si>
  <si>
    <t>Jess Glynne</t>
  </si>
  <si>
    <t>The Smiths</t>
  </si>
  <si>
    <t>Eagles</t>
  </si>
  <si>
    <t>The Police</t>
  </si>
  <si>
    <t>Phil Collins</t>
  </si>
  <si>
    <t>The Strokes</t>
  </si>
  <si>
    <t>Atif Aslam</t>
  </si>
  <si>
    <t>Pakistan</t>
  </si>
  <si>
    <t>Urdu</t>
  </si>
  <si>
    <t>Ovy On The Drums</t>
  </si>
  <si>
    <t>Olivia Dean</t>
  </si>
  <si>
    <t>Dire Straits</t>
  </si>
  <si>
    <t>NewJeans</t>
  </si>
  <si>
    <t>Avenged Sevenfold</t>
  </si>
  <si>
    <t>Ricardo Arjona</t>
  </si>
  <si>
    <t>Guatemala</t>
  </si>
  <si>
    <t>Los Ángeles Azules</t>
  </si>
  <si>
    <t>Rex Orange County</t>
  </si>
  <si>
    <t>ScHoolboy Q</t>
  </si>
  <si>
    <t>6LACK</t>
  </si>
  <si>
    <t>Disclosure</t>
  </si>
  <si>
    <t>Brytiago</t>
  </si>
  <si>
    <t>Alesso</t>
  </si>
  <si>
    <t>RAF Camora</t>
  </si>
  <si>
    <t>Austria</t>
  </si>
  <si>
    <t>Nelly</t>
  </si>
  <si>
    <t>Mumford &amp; Sons</t>
  </si>
  <si>
    <t>Kumaar</t>
  </si>
  <si>
    <t>Pearl Jam</t>
  </si>
  <si>
    <t>Zion</t>
  </si>
  <si>
    <t>Ryan Castro</t>
  </si>
  <si>
    <t>Nelly Furtado</t>
  </si>
  <si>
    <t>Wesley Safadão</t>
  </si>
  <si>
    <t>Disturbed</t>
  </si>
  <si>
    <t>H.E.R.</t>
  </si>
  <si>
    <t>Rita Ora</t>
  </si>
  <si>
    <t>Kevin Gates</t>
  </si>
  <si>
    <t>beabadoobee</t>
  </si>
  <si>
    <t>Philippines</t>
  </si>
  <si>
    <t>Karan Aujla</t>
  </si>
  <si>
    <t>Punjabi</t>
  </si>
  <si>
    <t>Céline Dion</t>
  </si>
  <si>
    <t>Bryan Adams</t>
  </si>
  <si>
    <t>ENHYPEN</t>
  </si>
  <si>
    <t>Dominic Fike</t>
  </si>
  <si>
    <t>Ana Castela</t>
  </si>
  <si>
    <t>LANY</t>
  </si>
  <si>
    <t>Johnny Cash</t>
  </si>
  <si>
    <t>B.o.B</t>
  </si>
  <si>
    <t>Jason Aldean</t>
  </si>
  <si>
    <t>Luan Santana</t>
  </si>
  <si>
    <t>KHEA</t>
  </si>
  <si>
    <t>Maiara &amp; Maraisa</t>
  </si>
  <si>
    <t>Mc IG</t>
  </si>
  <si>
    <t>Tiago PZK</t>
  </si>
  <si>
    <t>Tom Odell</t>
  </si>
  <si>
    <t>Macklemore &amp; Ryan Lewis</t>
  </si>
  <si>
    <t>Thomas Rhett</t>
  </si>
  <si>
    <t>MØ</t>
  </si>
  <si>
    <t>Denmark</t>
  </si>
  <si>
    <t>Five Finger Death Punch</t>
  </si>
  <si>
    <t>Kane Brown</t>
  </si>
  <si>
    <t>Laufey</t>
  </si>
  <si>
    <t>Iceland</t>
  </si>
  <si>
    <t>Grupo Menos É Mais</t>
  </si>
  <si>
    <t>Nicki Nicole</t>
  </si>
  <si>
    <t>Moneybagg Yo</t>
  </si>
  <si>
    <t>Magenta</t>
  </si>
  <si>
    <t>Ryan Lewis</t>
  </si>
  <si>
    <t>Morad</t>
  </si>
  <si>
    <t>Calum Scott</t>
  </si>
  <si>
    <t>TOMORROW X TOGETHER</t>
  </si>
  <si>
    <t>Grupo Marca Registrada</t>
  </si>
  <si>
    <t>benny blanco</t>
  </si>
  <si>
    <t>JID</t>
  </si>
  <si>
    <t>YNW Melly</t>
  </si>
  <si>
    <t>Juan Gabriel</t>
  </si>
  <si>
    <t>Los Temerarios</t>
  </si>
  <si>
    <t>Jason Mraz</t>
  </si>
  <si>
    <t>The Cure</t>
  </si>
  <si>
    <t>The Marías</t>
  </si>
  <si>
    <t>Limp Bizkit</t>
  </si>
  <si>
    <t>Nu Metal</t>
  </si>
  <si>
    <t>Korn</t>
  </si>
  <si>
    <t>Omar Courtz</t>
  </si>
  <si>
    <t>Artist Name</t>
  </si>
  <si>
    <t>Sex</t>
  </si>
  <si>
    <t>Country of Origin</t>
  </si>
  <si>
    <t>Primary Language</t>
  </si>
  <si>
    <t>Primary Genre</t>
  </si>
  <si>
    <t xml:space="preserve"> Artist Type</t>
  </si>
  <si>
    <t>Debut Year</t>
  </si>
  <si>
    <t>Total Streams (in millions)</t>
  </si>
  <si>
    <t>Lead Streams (in millions)</t>
  </si>
  <si>
    <t>Feature Streams (in millions)</t>
  </si>
  <si>
    <t>Solo Streams (in millions)</t>
  </si>
  <si>
    <t>Collaborative Streams (in millions)</t>
  </si>
  <si>
    <t>Percentage of Solo Streams</t>
  </si>
  <si>
    <t>Percentage of Collaborative Streams</t>
  </si>
  <si>
    <t>Music Artist Streaming Dashboard</t>
  </si>
  <si>
    <t>TOTAL ARTISTS</t>
  </si>
  <si>
    <t>TOTAL STREAMS (M)</t>
  </si>
  <si>
    <t>AVG STREAMS/ARTIST (M)</t>
  </si>
  <si>
    <t>TOP GENRE</t>
  </si>
  <si>
    <t xml:space="preserve">  </t>
  </si>
  <si>
    <t>Grand Total</t>
  </si>
  <si>
    <t>Sum of Total Streams (in millions)</t>
  </si>
  <si>
    <t>Count of Artist Name</t>
  </si>
  <si>
    <t>Sum</t>
  </si>
  <si>
    <t>Average</t>
  </si>
  <si>
    <t>Minimun</t>
  </si>
  <si>
    <t>Maximum</t>
  </si>
  <si>
    <t>Count of Primary Genre</t>
  </si>
  <si>
    <t>Genre</t>
  </si>
  <si>
    <t>Artist Type</t>
  </si>
  <si>
    <t xml:space="preserve">Count </t>
  </si>
  <si>
    <t>Column1</t>
  </si>
  <si>
    <t>Column2</t>
  </si>
  <si>
    <t>Count of Arstist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</si>
</sst>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0"/>
      <color rgb="FF1F4E78"/>
      <name val="Arial"/>
      <charset val="1"/>
    </font>
    <font>
      <i/>
      <sz val="10"/>
      <color rgb="FF777777"/>
      <name val="Arial"/>
      <charset val="1"/>
    </font>
    <font>
      <sz val="9"/>
      <color rgb="FFD9E2F3"/>
      <name val="Arial"/>
      <charset val="1"/>
    </font>
    <font>
      <b/>
      <sz val="16"/>
      <color rgb="FFFFFFFF"/>
      <name val="Arial"/>
      <charset val="1"/>
    </font>
    <font>
      <b/>
      <sz val="11"/>
      <color theme="1"/>
      <name val="Calibri"/>
      <family val="2"/>
      <scheme val="minor"/>
    </font>
    <font>
      <sz val="16"/>
      <color rgb="FFFFFFFF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8"/>
        <bgColor rgb="FF003366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theme="5"/>
      </top>
      <bottom style="thin">
        <color theme="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3" fontId="7" fillId="2" borderId="2" xfId="0" applyNumberFormat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0" fontId="0" fillId="0" borderId="4" xfId="0" applyBorder="1"/>
    <xf numFmtId="0" fontId="4" fillId="2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3" fontId="7" fillId="2" borderId="5" xfId="0" applyNumberFormat="1" applyFont="1" applyFill="1" applyBorder="1" applyAlignment="1">
      <alignment vertical="center"/>
    </xf>
    <xf numFmtId="3" fontId="5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6" fillId="4" borderId="0" xfId="0" applyFont="1" applyFill="1"/>
    <xf numFmtId="0" fontId="0" fillId="0" borderId="2" xfId="0" applyBorder="1"/>
    <xf numFmtId="0" fontId="0" fillId="0" borderId="6" xfId="0" applyBorder="1"/>
    <xf numFmtId="0" fontId="0" fillId="0" borderId="7" xfId="0" applyBorder="1"/>
    <xf numFmtId="3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Streams by Genre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'[1]Pivot - By Genre'!$C$1</c:f>
              <c:strCache>
                <c:ptCount val="1"/>
                <c:pt idx="0">
                  <c:v>Total Streams (sum, millions)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'[1]Pivot - By Genre'!$A$2:$A$11</c:f>
              <c:strCache>
                <c:ptCount val="10"/>
                <c:pt idx="0">
                  <c:v>Hip-Hop</c:v>
                </c:pt>
                <c:pt idx="1">
                  <c:v>Pop</c:v>
                </c:pt>
                <c:pt idx="2">
                  <c:v>Reggaeton</c:v>
                </c:pt>
                <c:pt idx="3">
                  <c:v>Rock</c:v>
                </c:pt>
                <c:pt idx="4">
                  <c:v>R&amp;B</c:v>
                </c:pt>
                <c:pt idx="5">
                  <c:v>Latin</c:v>
                </c:pt>
                <c:pt idx="6">
                  <c:v>EDM</c:v>
                </c:pt>
                <c:pt idx="7">
                  <c:v>Regional Mexican</c:v>
                </c:pt>
                <c:pt idx="8">
                  <c:v>K-Pop</c:v>
                </c:pt>
                <c:pt idx="9">
                  <c:v>Filmi</c:v>
                </c:pt>
              </c:strCache>
            </c:strRef>
          </c:cat>
          <c:val>
            <c:numRef>
              <c:f>'[1]Pivot - By Genre'!$C$2:$C$11</c:f>
              <c:numCache>
                <c:formatCode>General</c:formatCode>
                <c:ptCount val="10"/>
                <c:pt idx="0">
                  <c:v>2126055.100000001</c:v>
                </c:pt>
                <c:pt idx="1">
                  <c:v>2003601.8</c:v>
                </c:pt>
                <c:pt idx="2">
                  <c:v>888855.09999999974</c:v>
                </c:pt>
                <c:pt idx="3">
                  <c:v>812082.6</c:v>
                </c:pt>
                <c:pt idx="4">
                  <c:v>570698.4</c:v>
                </c:pt>
                <c:pt idx="5">
                  <c:v>377962</c:v>
                </c:pt>
                <c:pt idx="6">
                  <c:v>367096.9</c:v>
                </c:pt>
                <c:pt idx="7">
                  <c:v>256013.49999999997</c:v>
                </c:pt>
                <c:pt idx="8">
                  <c:v>157338.70000000001</c:v>
                </c:pt>
                <c:pt idx="9">
                  <c:v>151357.9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8-45B8-A005-BF5B93765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0439"/>
        <c:axId val="88046823"/>
      </c:barChart>
      <c:catAx>
        <c:axId val="92750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46823"/>
        <c:crosses val="autoZero"/>
        <c:auto val="1"/>
        <c:lblAlgn val="ctr"/>
        <c:lblOffset val="100"/>
        <c:noMultiLvlLbl val="0"/>
      </c:catAx>
      <c:valAx>
        <c:axId val="88046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Streams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504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Artist Distribution by Sex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'[1]Pivot - Type Sex'!$E$1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2FB-4612-9A34-5F455B8C25E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A2FB-4612-9A34-5F455B8C25E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A2FB-4612-9A34-5F455B8C25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FB-4612-9A34-5F455B8C25E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FB-4612-9A34-5F455B8C25E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FB-4612-9A34-5F455B8C2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'[1]Pivot - Type Sex'!$D$2:$D$4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Mixed</c:v>
                </c:pt>
              </c:strCache>
            </c:strRef>
          </c:cat>
          <c:val>
            <c:numRef>
              <c:f>'[1]Pivot - Type Sex'!$E$2:$E$4</c:f>
              <c:numCache>
                <c:formatCode>General</c:formatCode>
                <c:ptCount val="3"/>
                <c:pt idx="0">
                  <c:v>390</c:v>
                </c:pt>
                <c:pt idx="1">
                  <c:v>88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FB-4612-9A34-5F455B8C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Streams per Artist by Debut Decade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241105774974315"/>
          <c:y val="0.28092330036992452"/>
          <c:w val="0.83140531542939977"/>
          <c:h val="0.63548708351001004"/>
        </c:manualLayout>
      </c:layout>
      <c:lineChart>
        <c:grouping val="standard"/>
        <c:varyColors val="0"/>
        <c:ser>
          <c:idx val="0"/>
          <c:order val="0"/>
          <c:tx>
            <c:strRef>
              <c:f>'[1]Pivot - By Decade'!$C$1</c:f>
              <c:strCache>
                <c:ptCount val="1"/>
                <c:pt idx="0">
                  <c:v>Avg Total Streams (millions)</c:v>
                </c:pt>
              </c:strCache>
            </c:strRef>
          </c:tx>
          <c:spPr>
            <a:ln w="2808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'[1]Pivot - By Decade'!$A$2:$A$11</c:f>
              <c:strCache>
                <c:ptCount val="10"/>
                <c:pt idx="0">
                  <c:v>1930s</c:v>
                </c:pt>
                <c:pt idx="1">
                  <c:v>1940s</c:v>
                </c:pt>
                <c:pt idx="2">
                  <c:v>1950s</c:v>
                </c:pt>
                <c:pt idx="3">
                  <c:v>1960s</c:v>
                </c:pt>
                <c:pt idx="4">
                  <c:v>1970s</c:v>
                </c:pt>
                <c:pt idx="5">
                  <c:v>1980s</c:v>
                </c:pt>
                <c:pt idx="6">
                  <c:v>1990s</c:v>
                </c:pt>
                <c:pt idx="7">
                  <c:v>2000s</c:v>
                </c:pt>
                <c:pt idx="8">
                  <c:v>2010s</c:v>
                </c:pt>
                <c:pt idx="9">
                  <c:v>2020s</c:v>
                </c:pt>
              </c:strCache>
            </c:strRef>
          </c:cat>
          <c:val>
            <c:numRef>
              <c:f>'[1]Pivot - By Decade'!$C$2:$C$11</c:f>
              <c:numCache>
                <c:formatCode>General</c:formatCode>
                <c:ptCount val="10"/>
                <c:pt idx="0">
                  <c:v>12421.7</c:v>
                </c:pt>
                <c:pt idx="1">
                  <c:v>22236.1</c:v>
                </c:pt>
                <c:pt idx="2">
                  <c:v>9519.7000000000007</c:v>
                </c:pt>
                <c:pt idx="3">
                  <c:v>14209.253846153848</c:v>
                </c:pt>
                <c:pt idx="4">
                  <c:v>11471.94375</c:v>
                </c:pt>
                <c:pt idx="5">
                  <c:v>10927.465217391305</c:v>
                </c:pt>
                <c:pt idx="6">
                  <c:v>16451.290384615386</c:v>
                </c:pt>
                <c:pt idx="7">
                  <c:v>18615.406164383559</c:v>
                </c:pt>
                <c:pt idx="8">
                  <c:v>17162.868534482761</c:v>
                </c:pt>
                <c:pt idx="9">
                  <c:v>12885.921428571428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4-48F8-AACB-DD6C3E432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543057"/>
        <c:axId val="31942660"/>
      </c:lineChart>
      <c:catAx>
        <c:axId val="89543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Decade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942660"/>
        <c:crosses val="autoZero"/>
        <c:auto val="1"/>
        <c:lblAlgn val="ctr"/>
        <c:lblOffset val="100"/>
        <c:noMultiLvlLbl val="0"/>
      </c:catAx>
      <c:valAx>
        <c:axId val="319426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Streams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43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Countries by Artist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'[1]Pivot - By Country'!$B$1</c:f>
              <c:strCache>
                <c:ptCount val="1"/>
                <c:pt idx="0">
                  <c:v>Artist Count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'[1]Pivot - By Country'!$A$2:$A$11</c:f>
              <c:strCache>
                <c:ptCount val="10"/>
                <c:pt idx="0">
                  <c:v>United States</c:v>
                </c:pt>
                <c:pt idx="1">
                  <c:v>United Kingdom</c:v>
                </c:pt>
                <c:pt idx="2">
                  <c:v>Mexico</c:v>
                </c:pt>
                <c:pt idx="3">
                  <c:v>Canada</c:v>
                </c:pt>
                <c:pt idx="4">
                  <c:v>Colombia</c:v>
                </c:pt>
                <c:pt idx="5">
                  <c:v>Brazil</c:v>
                </c:pt>
                <c:pt idx="6">
                  <c:v>India</c:v>
                </c:pt>
                <c:pt idx="7">
                  <c:v>South Korea</c:v>
                </c:pt>
                <c:pt idx="8">
                  <c:v>Argentina</c:v>
                </c:pt>
                <c:pt idx="9">
                  <c:v>Australia</c:v>
                </c:pt>
              </c:strCache>
            </c:strRef>
          </c:cat>
          <c:val>
            <c:numRef>
              <c:f>'[1]Pivot - By Country'!$B$2:$B$11</c:f>
              <c:numCache>
                <c:formatCode>General</c:formatCode>
                <c:ptCount val="10"/>
                <c:pt idx="0">
                  <c:v>265</c:v>
                </c:pt>
                <c:pt idx="1">
                  <c:v>55</c:v>
                </c:pt>
                <c:pt idx="2">
                  <c:v>27</c:v>
                </c:pt>
                <c:pt idx="3">
                  <c:v>18</c:v>
                </c:pt>
                <c:pt idx="4">
                  <c:v>16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0-4D30-91A0-D1837401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43246"/>
        <c:axId val="7660078"/>
      </c:barChart>
      <c:catAx>
        <c:axId val="355432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Artist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0078"/>
        <c:crosses val="autoZero"/>
        <c:auto val="1"/>
        <c:lblAlgn val="ctr"/>
        <c:lblOffset val="100"/>
        <c:noMultiLvlLbl val="0"/>
      </c:catAx>
      <c:valAx>
        <c:axId val="766007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432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271463</xdr:colOff>
      <xdr:row>0</xdr:row>
      <xdr:rowOff>152400</xdr:rowOff>
    </xdr:from>
    <xdr:to>
      <xdr:col>3</xdr:col>
      <xdr:colOff>1066800</xdr:colOff>
      <xdr:row>2</xdr:row>
      <xdr:rowOff>100013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D8E085-0865-2394-2840-C0B0BD948889}"/>
            </a:ext>
          </a:extLst>
        </xdr:cNvPr>
        <xdr:cNvSpPr/>
      </xdr:nvSpPr>
      <xdr:spPr>
        <a:xfrm>
          <a:off x="919163" y="152400"/>
          <a:ext cx="4038600" cy="3095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Country</a:t>
          </a:r>
          <a:r>
            <a:rPr lang="en-IN" sz="1100" b="1" baseline="0">
              <a:solidFill>
                <a:schemeClr val="accent1"/>
              </a:solidFill>
            </a:rPr>
            <a:t> With Artist Streamed</a:t>
          </a:r>
          <a:endParaRPr lang="en-IN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500062</xdr:colOff>
      <xdr:row>3</xdr:row>
      <xdr:rowOff>61913</xdr:rowOff>
    </xdr:from>
    <xdr:to>
      <xdr:col>9</xdr:col>
      <xdr:colOff>1076325</xdr:colOff>
      <xdr:row>5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4601C4-1A15-6C64-D586-56D7CF789B40}"/>
            </a:ext>
          </a:extLst>
        </xdr:cNvPr>
        <xdr:cNvSpPr txBox="1"/>
      </xdr:nvSpPr>
      <xdr:spPr>
        <a:xfrm>
          <a:off x="7419975" y="604838"/>
          <a:ext cx="3057525" cy="471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Genre with stremed</a:t>
          </a:r>
        </a:p>
      </xdr:txBody>
    </xdr:sp>
    <xdr:clientData/>
  </xdr:twoCellAnchor>
  <xdr:twoCellAnchor>
    <xdr:from>
      <xdr:col>14</xdr:col>
      <xdr:colOff>261938</xdr:colOff>
      <xdr:row>4</xdr:row>
      <xdr:rowOff>66675</xdr:rowOff>
    </xdr:from>
    <xdr:to>
      <xdr:col>16</xdr:col>
      <xdr:colOff>1381125</xdr:colOff>
      <xdr:row>6</xdr:row>
      <xdr:rowOff>14288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9FF1E0-36B4-93E5-2BA0-EC27DC8B1157}"/>
            </a:ext>
          </a:extLst>
        </xdr:cNvPr>
        <xdr:cNvSpPr txBox="1"/>
      </xdr:nvSpPr>
      <xdr:spPr>
        <a:xfrm>
          <a:off x="13615988" y="790575"/>
          <a:ext cx="3138487" cy="309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Decade Year with stremed</a:t>
          </a:r>
        </a:p>
      </xdr:txBody>
    </xdr:sp>
    <xdr:clientData/>
  </xdr:twoCellAnchor>
  <xdr:twoCellAnchor>
    <xdr:from>
      <xdr:col>24</xdr:col>
      <xdr:colOff>376237</xdr:colOff>
      <xdr:row>2</xdr:row>
      <xdr:rowOff>147638</xdr:rowOff>
    </xdr:from>
    <xdr:to>
      <xdr:col>29</xdr:col>
      <xdr:colOff>1085850</xdr:colOff>
      <xdr:row>5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30E2A9-C515-B5E6-8DBD-EC9E5807B441}"/>
            </a:ext>
          </a:extLst>
        </xdr:cNvPr>
        <xdr:cNvSpPr txBox="1"/>
      </xdr:nvSpPr>
      <xdr:spPr>
        <a:xfrm>
          <a:off x="21145500" y="509588"/>
          <a:ext cx="4800600" cy="5381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Artist Type with Gender counts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8</xdr:row>
      <xdr:rowOff>51150</xdr:rowOff>
    </xdr:from>
    <xdr:to>
      <xdr:col>9</xdr:col>
      <xdr:colOff>77175</xdr:colOff>
      <xdr:row>25</xdr:row>
      <xdr:rowOff>52590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28001-CC87-41D5-8290-01241D2D2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228599</xdr:colOff>
      <xdr:row>9</xdr:row>
      <xdr:rowOff>8288</xdr:rowOff>
    </xdr:from>
    <xdr:to>
      <xdr:col>16</xdr:col>
      <xdr:colOff>543869</xdr:colOff>
      <xdr:row>26</xdr:row>
      <xdr:rowOff>9728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7A27E-F213-4F04-A312-63EE31769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52387</xdr:rowOff>
    </xdr:from>
    <xdr:to>
      <xdr:col>8</xdr:col>
      <xdr:colOff>777262</xdr:colOff>
      <xdr:row>41</xdr:row>
      <xdr:rowOff>71640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D15C9-0EA0-4AD5-AD81-F10C22FD9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26</xdr:row>
      <xdr:rowOff>157162</xdr:rowOff>
    </xdr:from>
    <xdr:to>
      <xdr:col>16</xdr:col>
      <xdr:colOff>315270</xdr:colOff>
      <xdr:row>41</xdr:row>
      <xdr:rowOff>71640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BA124C-3FD8-473A-A65F-0D1507833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s_formatted%20(1).xlsx" TargetMode="External"/><Relationship Id="rId1" Type="http://schemas.openxmlformats.org/officeDocument/2006/relationships/externalLinkPath" Target="file:///C:\Users\HP\Downloads\Ms_formatt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"/>
      <sheetName val="Pivot - By Genre"/>
      <sheetName val="Pivot - By Country"/>
      <sheetName val="Pivot - By Decade"/>
      <sheetName val="Pivot - Type Sex"/>
    </sheetNames>
    <sheetDataSet>
      <sheetData sheetId="0"/>
      <sheetData sheetId="1">
        <row r="2">
          <cell r="A2" t="str">
            <v>Drake</v>
          </cell>
          <cell r="H2">
            <v>137492.1</v>
          </cell>
        </row>
        <row r="3">
          <cell r="A3" t="str">
            <v>Taylor Swift</v>
          </cell>
          <cell r="H3">
            <v>127861</v>
          </cell>
        </row>
        <row r="4">
          <cell r="A4" t="str">
            <v>Bad Bunny</v>
          </cell>
          <cell r="H4">
            <v>125899.8</v>
          </cell>
        </row>
        <row r="5">
          <cell r="A5" t="str">
            <v>The Weeknd</v>
          </cell>
          <cell r="H5">
            <v>95703.2</v>
          </cell>
        </row>
        <row r="6">
          <cell r="A6" t="str">
            <v>Justin Bieber</v>
          </cell>
          <cell r="H6">
            <v>78104.399999999994</v>
          </cell>
        </row>
        <row r="7">
          <cell r="A7" t="str">
            <v>Ariana Grande</v>
          </cell>
          <cell r="H7">
            <v>68298.899999999994</v>
          </cell>
        </row>
        <row r="8">
          <cell r="A8" t="str">
            <v>Travis Scott</v>
          </cell>
          <cell r="H8">
            <v>65349.7</v>
          </cell>
        </row>
        <row r="9">
          <cell r="A9" t="str">
            <v>Kanye West</v>
          </cell>
          <cell r="H9">
            <v>65142.9</v>
          </cell>
        </row>
        <row r="10">
          <cell r="A10" t="str">
            <v>Ed Sheeran</v>
          </cell>
          <cell r="H10">
            <v>64656.9</v>
          </cell>
        </row>
        <row r="11">
          <cell r="A11" t="str">
            <v>Eminem</v>
          </cell>
          <cell r="H11">
            <v>64549</v>
          </cell>
        </row>
        <row r="12">
          <cell r="A12" t="str">
            <v>Rihanna</v>
          </cell>
          <cell r="H12">
            <v>60670.7</v>
          </cell>
        </row>
        <row r="13">
          <cell r="A13" t="str">
            <v>Billie Eilish</v>
          </cell>
          <cell r="H13">
            <v>58049.5</v>
          </cell>
        </row>
        <row r="14">
          <cell r="A14" t="str">
            <v>Bruno Mars</v>
          </cell>
          <cell r="H14">
            <v>56727.1</v>
          </cell>
        </row>
        <row r="15">
          <cell r="A15" t="str">
            <v>Kendrick Lamar</v>
          </cell>
          <cell r="H15">
            <v>56459.5</v>
          </cell>
        </row>
        <row r="16">
          <cell r="A16" t="str">
            <v>Post Malone</v>
          </cell>
          <cell r="H16">
            <v>55028.3</v>
          </cell>
        </row>
        <row r="17">
          <cell r="A17" t="str">
            <v>J Balvin</v>
          </cell>
          <cell r="H17">
            <v>54649.2</v>
          </cell>
        </row>
        <row r="18">
          <cell r="A18" t="str">
            <v>Future</v>
          </cell>
          <cell r="H18">
            <v>53951.5</v>
          </cell>
        </row>
        <row r="19">
          <cell r="A19" t="str">
            <v>BTS</v>
          </cell>
          <cell r="H19">
            <v>53308.9</v>
          </cell>
        </row>
        <row r="20">
          <cell r="A20" t="str">
            <v>Ozuna</v>
          </cell>
          <cell r="H20">
            <v>47649.2</v>
          </cell>
        </row>
        <row r="21">
          <cell r="A21" t="str">
            <v>Coldplay</v>
          </cell>
          <cell r="H21">
            <v>46720.4</v>
          </cell>
        </row>
        <row r="22">
          <cell r="A22" t="str">
            <v>Juice WRLD</v>
          </cell>
          <cell r="H22">
            <v>46276.4</v>
          </cell>
        </row>
        <row r="23">
          <cell r="A23" t="str">
            <v>Chris Brown</v>
          </cell>
          <cell r="H23">
            <v>43963.8</v>
          </cell>
        </row>
        <row r="24">
          <cell r="A24" t="str">
            <v>Nicki Minaj</v>
          </cell>
          <cell r="H24">
            <v>43330.3</v>
          </cell>
        </row>
        <row r="25">
          <cell r="A25" t="str">
            <v>Lana Del Rey</v>
          </cell>
          <cell r="H25">
            <v>42464.1</v>
          </cell>
        </row>
        <row r="26">
          <cell r="A26" t="str">
            <v>David Guetta</v>
          </cell>
          <cell r="H26">
            <v>42059.5</v>
          </cell>
        </row>
        <row r="27">
          <cell r="A27" t="str">
            <v>Dua Lipa</v>
          </cell>
          <cell r="H27">
            <v>41944.1</v>
          </cell>
        </row>
        <row r="28">
          <cell r="A28" t="str">
            <v>Daddy Yankee</v>
          </cell>
          <cell r="H28">
            <v>41405.4</v>
          </cell>
        </row>
        <row r="29">
          <cell r="A29" t="str">
            <v>Rauw Alejandro</v>
          </cell>
          <cell r="H29">
            <v>40738.6</v>
          </cell>
        </row>
        <row r="30">
          <cell r="A30" t="str">
            <v>Anuel AA</v>
          </cell>
          <cell r="H30">
            <v>40453.300000000003</v>
          </cell>
        </row>
        <row r="31">
          <cell r="A31" t="str">
            <v>XXXTENTACION</v>
          </cell>
          <cell r="H31">
            <v>40411.300000000003</v>
          </cell>
        </row>
        <row r="32">
          <cell r="A32" t="str">
            <v>Imagine Dragons</v>
          </cell>
          <cell r="H32">
            <v>40279.5</v>
          </cell>
        </row>
        <row r="33">
          <cell r="A33" t="str">
            <v>Lil Wayne</v>
          </cell>
          <cell r="H33">
            <v>40148.199999999997</v>
          </cell>
        </row>
        <row r="34">
          <cell r="A34" t="str">
            <v>21 Savage</v>
          </cell>
          <cell r="H34">
            <v>39024.300000000003</v>
          </cell>
        </row>
        <row r="35">
          <cell r="A35" t="str">
            <v>SZA</v>
          </cell>
          <cell r="H35">
            <v>38879.599999999999</v>
          </cell>
        </row>
        <row r="36">
          <cell r="A36" t="str">
            <v>Arijit Singh</v>
          </cell>
          <cell r="H36">
            <v>37687.800000000003</v>
          </cell>
        </row>
        <row r="37">
          <cell r="A37" t="str">
            <v>Lady Gaga</v>
          </cell>
          <cell r="H37">
            <v>37565.4</v>
          </cell>
        </row>
        <row r="38">
          <cell r="A38" t="str">
            <v>KAROL G</v>
          </cell>
          <cell r="H38">
            <v>37549.699999999997</v>
          </cell>
        </row>
        <row r="39">
          <cell r="A39" t="str">
            <v>Lil Baby</v>
          </cell>
          <cell r="H39">
            <v>35931.9</v>
          </cell>
        </row>
        <row r="40">
          <cell r="A40" t="str">
            <v>Maroon 5</v>
          </cell>
          <cell r="H40">
            <v>35794.1</v>
          </cell>
        </row>
        <row r="41">
          <cell r="A41" t="str">
            <v>Khalid</v>
          </cell>
          <cell r="H41">
            <v>35727.199999999997</v>
          </cell>
        </row>
        <row r="42">
          <cell r="A42" t="str">
            <v>Beyoncé</v>
          </cell>
          <cell r="H42">
            <v>34975.199999999997</v>
          </cell>
        </row>
        <row r="43">
          <cell r="A43" t="str">
            <v>Maluma</v>
          </cell>
          <cell r="H43">
            <v>34841</v>
          </cell>
        </row>
        <row r="44">
          <cell r="A44" t="str">
            <v>Feid</v>
          </cell>
          <cell r="H44">
            <v>34579.1</v>
          </cell>
        </row>
        <row r="45">
          <cell r="A45" t="str">
            <v>Calvin Harris</v>
          </cell>
          <cell r="H45">
            <v>34129.699999999997</v>
          </cell>
        </row>
        <row r="46">
          <cell r="A46" t="str">
            <v>Myke Towers</v>
          </cell>
          <cell r="H46">
            <v>33620.699999999997</v>
          </cell>
        </row>
        <row r="47">
          <cell r="A47" t="str">
            <v>Linkin Park</v>
          </cell>
          <cell r="H47">
            <v>33224.699999999997</v>
          </cell>
        </row>
        <row r="48">
          <cell r="A48" t="str">
            <v>Peso Pluma</v>
          </cell>
          <cell r="H48">
            <v>33179.800000000003</v>
          </cell>
        </row>
        <row r="49">
          <cell r="A49" t="str">
            <v>J. Cole</v>
          </cell>
          <cell r="H49">
            <v>32200.9</v>
          </cell>
        </row>
        <row r="50">
          <cell r="A50" t="str">
            <v>Lil Uzi Vert</v>
          </cell>
          <cell r="H50">
            <v>32115.9</v>
          </cell>
        </row>
        <row r="51">
          <cell r="A51" t="str">
            <v>Sia</v>
          </cell>
          <cell r="H51">
            <v>31642.1</v>
          </cell>
        </row>
        <row r="52">
          <cell r="A52" t="str">
            <v>Doja Cat</v>
          </cell>
          <cell r="H52">
            <v>31214.3</v>
          </cell>
        </row>
        <row r="53">
          <cell r="A53" t="str">
            <v>Shakira</v>
          </cell>
          <cell r="H53">
            <v>31212.400000000001</v>
          </cell>
        </row>
        <row r="54">
          <cell r="A54" t="str">
            <v>Morgan Wallen</v>
          </cell>
          <cell r="H54">
            <v>31171.1</v>
          </cell>
        </row>
        <row r="55">
          <cell r="A55" t="str">
            <v>Young Thug</v>
          </cell>
          <cell r="H55">
            <v>30933.8</v>
          </cell>
        </row>
        <row r="56">
          <cell r="A56" t="str">
            <v>Farruko</v>
          </cell>
          <cell r="H56">
            <v>29775.3</v>
          </cell>
        </row>
        <row r="57">
          <cell r="A57" t="str">
            <v>Shawn Mendes</v>
          </cell>
          <cell r="H57">
            <v>29471.1</v>
          </cell>
        </row>
        <row r="58">
          <cell r="A58" t="str">
            <v>Harry Styles</v>
          </cell>
          <cell r="H58">
            <v>29449</v>
          </cell>
        </row>
        <row r="59">
          <cell r="A59" t="str">
            <v>Queen</v>
          </cell>
          <cell r="H59">
            <v>29370</v>
          </cell>
        </row>
        <row r="60">
          <cell r="A60" t="str">
            <v>Sam Smith</v>
          </cell>
          <cell r="H60">
            <v>29197.200000000001</v>
          </cell>
        </row>
        <row r="61">
          <cell r="A61" t="str">
            <v>One Direction</v>
          </cell>
          <cell r="H61">
            <v>28889.5</v>
          </cell>
        </row>
        <row r="62">
          <cell r="A62" t="str">
            <v>Metro Boomin</v>
          </cell>
          <cell r="H62">
            <v>28848.7</v>
          </cell>
        </row>
        <row r="63">
          <cell r="A63" t="str">
            <v>Olivia Rodrigo</v>
          </cell>
          <cell r="H63">
            <v>28799.7</v>
          </cell>
        </row>
        <row r="64">
          <cell r="A64" t="str">
            <v>Adele</v>
          </cell>
          <cell r="H64">
            <v>28690.5</v>
          </cell>
        </row>
        <row r="65">
          <cell r="A65" t="str">
            <v>Pritam</v>
          </cell>
          <cell r="H65">
            <v>28543.9</v>
          </cell>
        </row>
        <row r="66">
          <cell r="A66" t="str">
            <v>Katy Perry</v>
          </cell>
          <cell r="H66">
            <v>28248</v>
          </cell>
        </row>
        <row r="67">
          <cell r="A67" t="str">
            <v>Gunna</v>
          </cell>
          <cell r="H67">
            <v>28195.8</v>
          </cell>
        </row>
        <row r="68">
          <cell r="A68" t="str">
            <v>Arctic Monkeys</v>
          </cell>
          <cell r="H68">
            <v>28155.4</v>
          </cell>
        </row>
        <row r="69">
          <cell r="A69" t="str">
            <v>Fuerza Regida</v>
          </cell>
          <cell r="H69">
            <v>27466.799999999999</v>
          </cell>
        </row>
        <row r="70">
          <cell r="A70" t="str">
            <v>Junior H</v>
          </cell>
          <cell r="H70">
            <v>27406.799999999999</v>
          </cell>
        </row>
        <row r="71">
          <cell r="A71" t="str">
            <v>Tyler, The Creator</v>
          </cell>
          <cell r="H71">
            <v>27125.8</v>
          </cell>
        </row>
        <row r="72">
          <cell r="A72" t="str">
            <v>Selena Gomez</v>
          </cell>
          <cell r="H72">
            <v>26895.1</v>
          </cell>
        </row>
        <row r="73">
          <cell r="A73" t="str">
            <v>Ty Dolla $ign</v>
          </cell>
          <cell r="H73">
            <v>26465.200000000001</v>
          </cell>
        </row>
        <row r="74">
          <cell r="A74" t="str">
            <v>The Beatles</v>
          </cell>
          <cell r="H74">
            <v>26130.5</v>
          </cell>
        </row>
        <row r="75">
          <cell r="A75" t="str">
            <v>Pitbull</v>
          </cell>
          <cell r="H75">
            <v>25875.8</v>
          </cell>
        </row>
        <row r="76">
          <cell r="A76" t="str">
            <v>Nicky Jam</v>
          </cell>
          <cell r="H76">
            <v>25875.4</v>
          </cell>
        </row>
        <row r="77">
          <cell r="A77" t="str">
            <v>Playboi Carti</v>
          </cell>
          <cell r="H77">
            <v>25818.400000000001</v>
          </cell>
        </row>
        <row r="78">
          <cell r="A78" t="str">
            <v>Halsey</v>
          </cell>
          <cell r="H78">
            <v>25687.5</v>
          </cell>
        </row>
        <row r="79">
          <cell r="A79" t="str">
            <v>Wiz Khalifa</v>
          </cell>
          <cell r="H79">
            <v>25289.9</v>
          </cell>
        </row>
        <row r="80">
          <cell r="A80" t="str">
            <v>Michael Jackson</v>
          </cell>
          <cell r="H80">
            <v>25264.400000000001</v>
          </cell>
        </row>
        <row r="81">
          <cell r="A81" t="str">
            <v>Sabrina Carpenter</v>
          </cell>
          <cell r="H81">
            <v>24888.6</v>
          </cell>
        </row>
        <row r="82">
          <cell r="A82" t="str">
            <v>Frank Ocean</v>
          </cell>
          <cell r="H82">
            <v>24807.4</v>
          </cell>
        </row>
        <row r="83">
          <cell r="A83" t="str">
            <v>Die drei ???</v>
          </cell>
          <cell r="H83">
            <v>24607</v>
          </cell>
        </row>
        <row r="84">
          <cell r="A84" t="str">
            <v>JAŸ-Z</v>
          </cell>
          <cell r="H84">
            <v>24440.1</v>
          </cell>
        </row>
        <row r="85">
          <cell r="A85" t="str">
            <v>A$AP Rocky</v>
          </cell>
          <cell r="H85">
            <v>24217.200000000001</v>
          </cell>
        </row>
        <row r="86">
          <cell r="A86" t="str">
            <v>Miley Cyrus</v>
          </cell>
          <cell r="H86">
            <v>23907.599999999999</v>
          </cell>
        </row>
        <row r="87">
          <cell r="A87" t="str">
            <v>The Chainsmokers</v>
          </cell>
          <cell r="H87">
            <v>23845.1</v>
          </cell>
        </row>
        <row r="88">
          <cell r="A88" t="str">
            <v>Marshmello</v>
          </cell>
          <cell r="H88">
            <v>23705.9</v>
          </cell>
        </row>
        <row r="89">
          <cell r="A89" t="str">
            <v>Cardi B</v>
          </cell>
          <cell r="H89">
            <v>22494.9</v>
          </cell>
        </row>
        <row r="90">
          <cell r="A90" t="str">
            <v>Twenty One Pilots</v>
          </cell>
          <cell r="H90">
            <v>22475.8</v>
          </cell>
        </row>
        <row r="91">
          <cell r="A91" t="str">
            <v>Disney</v>
          </cell>
          <cell r="H91">
            <v>22236.1</v>
          </cell>
        </row>
        <row r="92">
          <cell r="A92" t="str">
            <v>Arcángel</v>
          </cell>
          <cell r="H92">
            <v>21937.3</v>
          </cell>
        </row>
        <row r="93">
          <cell r="A93" t="str">
            <v>Red Hot Chili Peppers</v>
          </cell>
          <cell r="H93">
            <v>21873.8</v>
          </cell>
        </row>
        <row r="94">
          <cell r="A94" t="str">
            <v>Camila Cabello</v>
          </cell>
          <cell r="H94">
            <v>21546.2</v>
          </cell>
        </row>
        <row r="95">
          <cell r="A95" t="str">
            <v>$uicideboy$</v>
          </cell>
          <cell r="H95">
            <v>21202.3</v>
          </cell>
        </row>
        <row r="96">
          <cell r="A96" t="str">
            <v>OneRepublic</v>
          </cell>
          <cell r="H96">
            <v>21182.2</v>
          </cell>
        </row>
        <row r="97">
          <cell r="A97" t="str">
            <v>Avicii</v>
          </cell>
          <cell r="H97">
            <v>21003.5</v>
          </cell>
        </row>
        <row r="98">
          <cell r="A98" t="str">
            <v>Diplo</v>
          </cell>
          <cell r="H98">
            <v>20670.8</v>
          </cell>
        </row>
        <row r="99">
          <cell r="A99" t="str">
            <v>Snoop Dogg</v>
          </cell>
          <cell r="H99">
            <v>20644.8</v>
          </cell>
        </row>
        <row r="100">
          <cell r="A100" t="str">
            <v>Romeo Santos</v>
          </cell>
          <cell r="H100">
            <v>20549.2</v>
          </cell>
        </row>
        <row r="101">
          <cell r="A101" t="str">
            <v>50 Cent</v>
          </cell>
          <cell r="H101">
            <v>20444.599999999999</v>
          </cell>
        </row>
        <row r="102">
          <cell r="A102" t="str">
            <v>Natanael Cano</v>
          </cell>
          <cell r="H102">
            <v>20300.7</v>
          </cell>
        </row>
        <row r="103">
          <cell r="A103" t="str">
            <v>YoungBoy Never Broke Again</v>
          </cell>
          <cell r="H103">
            <v>20138.099999999999</v>
          </cell>
        </row>
        <row r="104">
          <cell r="A104" t="str">
            <v>Mac Miller</v>
          </cell>
          <cell r="H104">
            <v>20091.099999999999</v>
          </cell>
        </row>
        <row r="105">
          <cell r="A105" t="str">
            <v>DaBaby</v>
          </cell>
          <cell r="H105">
            <v>19977.5</v>
          </cell>
        </row>
        <row r="106">
          <cell r="A106" t="str">
            <v>Don Toliver</v>
          </cell>
          <cell r="H106">
            <v>19830.5</v>
          </cell>
        </row>
        <row r="107">
          <cell r="A107" t="str">
            <v>Zach Bryan</v>
          </cell>
          <cell r="H107">
            <v>19727.2</v>
          </cell>
        </row>
        <row r="108">
          <cell r="A108" t="str">
            <v>Kygo</v>
          </cell>
          <cell r="H108">
            <v>19707.8</v>
          </cell>
        </row>
        <row r="109">
          <cell r="A109" t="str">
            <v>Sech</v>
          </cell>
          <cell r="H109">
            <v>19528.3</v>
          </cell>
        </row>
        <row r="110">
          <cell r="A110" t="str">
            <v>The Neighbourhood</v>
          </cell>
          <cell r="H110">
            <v>19440.5</v>
          </cell>
        </row>
        <row r="111">
          <cell r="A111" t="str">
            <v>Quavo</v>
          </cell>
          <cell r="H111">
            <v>19383.5</v>
          </cell>
        </row>
        <row r="112">
          <cell r="A112" t="str">
            <v>Henrique &amp; Juliano</v>
          </cell>
          <cell r="H112">
            <v>19231.7</v>
          </cell>
        </row>
        <row r="113">
          <cell r="A113" t="str">
            <v>Luke Combs</v>
          </cell>
          <cell r="H113">
            <v>19101.599999999999</v>
          </cell>
        </row>
        <row r="114">
          <cell r="A114" t="str">
            <v>Elton John</v>
          </cell>
          <cell r="H114">
            <v>19090.400000000001</v>
          </cell>
        </row>
        <row r="115">
          <cell r="A115" t="str">
            <v>Manuel Turizo</v>
          </cell>
          <cell r="H115">
            <v>18912.7</v>
          </cell>
        </row>
        <row r="116">
          <cell r="A116" t="str">
            <v>Trippie Redd</v>
          </cell>
          <cell r="H116">
            <v>18889.599999999999</v>
          </cell>
        </row>
        <row r="117">
          <cell r="A117" t="str">
            <v>Tate McRae</v>
          </cell>
          <cell r="H117">
            <v>18707.3</v>
          </cell>
        </row>
        <row r="118">
          <cell r="A118" t="str">
            <v>Lil Peep</v>
          </cell>
          <cell r="H118">
            <v>18649.5</v>
          </cell>
        </row>
        <row r="119">
          <cell r="A119" t="str">
            <v>Metallica</v>
          </cell>
          <cell r="H119">
            <v>18627</v>
          </cell>
        </row>
        <row r="120">
          <cell r="A120" t="str">
            <v>Don Omar</v>
          </cell>
          <cell r="H120">
            <v>18580.599999999999</v>
          </cell>
        </row>
        <row r="121">
          <cell r="A121" t="str">
            <v>USHER</v>
          </cell>
          <cell r="H121">
            <v>18413.2</v>
          </cell>
        </row>
        <row r="122">
          <cell r="A122" t="str">
            <v>Charlie Puth</v>
          </cell>
          <cell r="H122">
            <v>18309.3</v>
          </cell>
        </row>
        <row r="123">
          <cell r="A123" t="str">
            <v>Justin Timberlake</v>
          </cell>
          <cell r="H123">
            <v>18270.8</v>
          </cell>
        </row>
        <row r="124">
          <cell r="A124" t="str">
            <v>Tiësto</v>
          </cell>
          <cell r="H124">
            <v>18217.099999999999</v>
          </cell>
        </row>
        <row r="125">
          <cell r="A125" t="str">
            <v>Sean Paul</v>
          </cell>
          <cell r="H125">
            <v>18203.3</v>
          </cell>
        </row>
        <row r="126">
          <cell r="A126" t="str">
            <v>Tyga</v>
          </cell>
          <cell r="H126">
            <v>18064.3</v>
          </cell>
        </row>
        <row r="127">
          <cell r="A127" t="str">
            <v>Kali Uchis</v>
          </cell>
          <cell r="H127">
            <v>18005.3</v>
          </cell>
        </row>
        <row r="128">
          <cell r="A128" t="str">
            <v>Kodak Black</v>
          </cell>
          <cell r="H128">
            <v>17738.8</v>
          </cell>
        </row>
        <row r="129">
          <cell r="A129" t="str">
            <v>Jason Derulo</v>
          </cell>
          <cell r="H129">
            <v>17720.2</v>
          </cell>
        </row>
        <row r="130">
          <cell r="A130" t="str">
            <v>BLACKPINK</v>
          </cell>
          <cell r="H130">
            <v>17517.400000000001</v>
          </cell>
        </row>
        <row r="131">
          <cell r="A131" t="str">
            <v>JHAYCO</v>
          </cell>
          <cell r="H131">
            <v>17516.099999999999</v>
          </cell>
        </row>
        <row r="132">
          <cell r="A132" t="str">
            <v>Bebe Rexha</v>
          </cell>
          <cell r="H132">
            <v>17440.2</v>
          </cell>
        </row>
        <row r="133">
          <cell r="A133" t="str">
            <v>Daft Punk</v>
          </cell>
          <cell r="H133">
            <v>17316.599999999999</v>
          </cell>
        </row>
        <row r="134">
          <cell r="A134" t="str">
            <v>Luis Miguel</v>
          </cell>
          <cell r="H134">
            <v>17314.099999999999</v>
          </cell>
        </row>
        <row r="135">
          <cell r="A135" t="str">
            <v>Demi Lovato</v>
          </cell>
          <cell r="H135">
            <v>17119.5</v>
          </cell>
        </row>
        <row r="136">
          <cell r="A136" t="str">
            <v>Akon</v>
          </cell>
          <cell r="H136">
            <v>17056</v>
          </cell>
        </row>
        <row r="137">
          <cell r="A137" t="str">
            <v>AC/DC</v>
          </cell>
          <cell r="H137">
            <v>17010.5</v>
          </cell>
        </row>
        <row r="138">
          <cell r="A138" t="str">
            <v>Sebastian Yatra</v>
          </cell>
          <cell r="H138">
            <v>16984.3</v>
          </cell>
        </row>
        <row r="139">
          <cell r="A139" t="str">
            <v>Carín León</v>
          </cell>
          <cell r="H139">
            <v>16969.400000000001</v>
          </cell>
        </row>
        <row r="140">
          <cell r="A140" t="str">
            <v>Alan Walker</v>
          </cell>
          <cell r="H140">
            <v>16893.400000000001</v>
          </cell>
        </row>
        <row r="141">
          <cell r="A141" t="str">
            <v>A Boogie Wit da Hoodie</v>
          </cell>
          <cell r="H141">
            <v>16877.3</v>
          </cell>
        </row>
        <row r="142">
          <cell r="A142" t="str">
            <v>Fleetwood Mac</v>
          </cell>
          <cell r="H142">
            <v>16577.5</v>
          </cell>
        </row>
        <row r="143">
          <cell r="A143" t="str">
            <v>Hozier</v>
          </cell>
          <cell r="H143">
            <v>16556.5</v>
          </cell>
        </row>
        <row r="144">
          <cell r="A144" t="str">
            <v>Ellie Goulding</v>
          </cell>
          <cell r="H144">
            <v>16553.3</v>
          </cell>
        </row>
        <row r="145">
          <cell r="A145" t="str">
            <v>Radiohead</v>
          </cell>
          <cell r="H145">
            <v>16454.900000000001</v>
          </cell>
        </row>
        <row r="146">
          <cell r="A146" t="str">
            <v>Big Sean</v>
          </cell>
          <cell r="H146">
            <v>16428.900000000001</v>
          </cell>
        </row>
        <row r="147">
          <cell r="A147" t="str">
            <v>Flo Rida</v>
          </cell>
          <cell r="H147">
            <v>16366.1</v>
          </cell>
        </row>
        <row r="148">
          <cell r="A148" t="str">
            <v>P!nk</v>
          </cell>
          <cell r="H148">
            <v>16271.6</v>
          </cell>
        </row>
        <row r="149">
          <cell r="A149" t="str">
            <v>Nirvana</v>
          </cell>
          <cell r="H149">
            <v>16228.7</v>
          </cell>
        </row>
        <row r="150">
          <cell r="A150" t="str">
            <v>Pop Smoke</v>
          </cell>
          <cell r="H150">
            <v>16217.4</v>
          </cell>
        </row>
        <row r="151">
          <cell r="A151" t="str">
            <v>Britney Spears</v>
          </cell>
          <cell r="H151">
            <v>16148.3</v>
          </cell>
        </row>
        <row r="152">
          <cell r="A152" t="str">
            <v>James Arthur</v>
          </cell>
          <cell r="H152">
            <v>16111.6</v>
          </cell>
        </row>
        <row r="153">
          <cell r="A153" t="str">
            <v>Tory Lanez</v>
          </cell>
          <cell r="H153">
            <v>16021.1</v>
          </cell>
        </row>
        <row r="154">
          <cell r="A154" t="str">
            <v>Pharrell Williams</v>
          </cell>
          <cell r="H154">
            <v>15952.2</v>
          </cell>
        </row>
        <row r="155">
          <cell r="A155" t="str">
            <v>DJ Snake</v>
          </cell>
          <cell r="H155">
            <v>15921.1</v>
          </cell>
        </row>
        <row r="156">
          <cell r="A156" t="str">
            <v>Daniel Caesar</v>
          </cell>
          <cell r="H156">
            <v>15876.2</v>
          </cell>
        </row>
        <row r="157">
          <cell r="A157" t="str">
            <v>Black Eyed Peas</v>
          </cell>
          <cell r="H157">
            <v>15775.7</v>
          </cell>
        </row>
        <row r="158">
          <cell r="A158" t="str">
            <v>Swae Lee</v>
          </cell>
          <cell r="H158">
            <v>15746</v>
          </cell>
        </row>
        <row r="159">
          <cell r="A159" t="str">
            <v>Shreya Ghoshal</v>
          </cell>
          <cell r="H159">
            <v>15723</v>
          </cell>
        </row>
        <row r="160">
          <cell r="A160" t="str">
            <v>Duki</v>
          </cell>
          <cell r="H160">
            <v>15684.7</v>
          </cell>
        </row>
        <row r="161">
          <cell r="A161" t="str">
            <v>Bizarrap</v>
          </cell>
          <cell r="H161">
            <v>15638.8</v>
          </cell>
        </row>
        <row r="162">
          <cell r="A162" t="str">
            <v>Migos</v>
          </cell>
          <cell r="H162">
            <v>15562.1</v>
          </cell>
        </row>
        <row r="163">
          <cell r="A163" t="str">
            <v>The Kid LAROI</v>
          </cell>
          <cell r="H163">
            <v>15561.7</v>
          </cell>
        </row>
        <row r="164">
          <cell r="A164" t="str">
            <v>Marília Mendonça</v>
          </cell>
          <cell r="H164">
            <v>15528.2</v>
          </cell>
        </row>
        <row r="165">
          <cell r="A165" t="str">
            <v>Anitta</v>
          </cell>
          <cell r="H165">
            <v>15525.6</v>
          </cell>
        </row>
        <row r="166">
          <cell r="A166" t="str">
            <v>Green Day</v>
          </cell>
          <cell r="H166">
            <v>15453.3</v>
          </cell>
        </row>
        <row r="167">
          <cell r="A167" t="str">
            <v>Lil Durk</v>
          </cell>
          <cell r="H167">
            <v>15329.4</v>
          </cell>
        </row>
        <row r="168">
          <cell r="A168" t="str">
            <v>Polo G</v>
          </cell>
          <cell r="H168">
            <v>15252.2</v>
          </cell>
        </row>
        <row r="169">
          <cell r="A169" t="str">
            <v>A.R. Rahman</v>
          </cell>
          <cell r="H169">
            <v>15240.4</v>
          </cell>
        </row>
        <row r="170">
          <cell r="A170" t="str">
            <v>G-Eazy</v>
          </cell>
          <cell r="H170">
            <v>15133</v>
          </cell>
        </row>
        <row r="171">
          <cell r="A171" t="str">
            <v>Kid Cudi</v>
          </cell>
          <cell r="H171">
            <v>15086.8</v>
          </cell>
        </row>
        <row r="172">
          <cell r="A172" t="str">
            <v>Justin Quiles</v>
          </cell>
          <cell r="H172">
            <v>15041.1</v>
          </cell>
        </row>
        <row r="173">
          <cell r="A173" t="str">
            <v>Bob Marley &amp; The Wailers</v>
          </cell>
          <cell r="H173">
            <v>14992.7</v>
          </cell>
        </row>
        <row r="174">
          <cell r="A174" t="str">
            <v>Stray Kids</v>
          </cell>
          <cell r="H174">
            <v>14947.4</v>
          </cell>
        </row>
        <row r="175">
          <cell r="A175" t="str">
            <v>Anirudh Ravichander</v>
          </cell>
          <cell r="H175">
            <v>14897.8</v>
          </cell>
        </row>
        <row r="176">
          <cell r="A176" t="str">
            <v>Ne-Yo</v>
          </cell>
          <cell r="H176">
            <v>14888.6</v>
          </cell>
        </row>
        <row r="177">
          <cell r="A177" t="str">
            <v>Gucci Mane</v>
          </cell>
          <cell r="H177">
            <v>14880.2</v>
          </cell>
        </row>
        <row r="178">
          <cell r="A178" t="str">
            <v>ROSALÍA</v>
          </cell>
          <cell r="H178">
            <v>14558.4</v>
          </cell>
        </row>
        <row r="179">
          <cell r="A179" t="str">
            <v>Charli xcx</v>
          </cell>
          <cell r="H179">
            <v>14544.4</v>
          </cell>
        </row>
        <row r="180">
          <cell r="A180" t="str">
            <v>Joji</v>
          </cell>
          <cell r="H180">
            <v>14512.1</v>
          </cell>
        </row>
        <row r="181">
          <cell r="A181" t="str">
            <v>Fall Out Boy</v>
          </cell>
          <cell r="H181">
            <v>14507.7</v>
          </cell>
        </row>
        <row r="182">
          <cell r="A182" t="str">
            <v>PARTYNEXTDOOR</v>
          </cell>
          <cell r="H182">
            <v>14506.3</v>
          </cell>
        </row>
        <row r="183">
          <cell r="A183" t="str">
            <v>Jorge &amp; Mateus</v>
          </cell>
          <cell r="H183">
            <v>14404.4</v>
          </cell>
        </row>
        <row r="184">
          <cell r="A184" t="str">
            <v>Offset</v>
          </cell>
          <cell r="H184">
            <v>14402.6</v>
          </cell>
        </row>
        <row r="185">
          <cell r="A185" t="str">
            <v>Panic! At The Disco</v>
          </cell>
          <cell r="H185">
            <v>14402.3</v>
          </cell>
        </row>
        <row r="186">
          <cell r="A186" t="str">
            <v>Tame Impala</v>
          </cell>
          <cell r="H186">
            <v>14387.1</v>
          </cell>
        </row>
        <row r="187">
          <cell r="A187" t="str">
            <v>Quevedo</v>
          </cell>
          <cell r="H187">
            <v>14345.2</v>
          </cell>
        </row>
        <row r="188">
          <cell r="A188" t="str">
            <v>Morat</v>
          </cell>
          <cell r="H188">
            <v>14293.7</v>
          </cell>
        </row>
        <row r="189">
          <cell r="A189" t="str">
            <v>Zara Larsson</v>
          </cell>
          <cell r="H189">
            <v>14221.3</v>
          </cell>
        </row>
        <row r="190">
          <cell r="A190" t="str">
            <v>Tito Double P</v>
          </cell>
          <cell r="H190">
            <v>14166.6</v>
          </cell>
        </row>
        <row r="191">
          <cell r="A191" t="str">
            <v>Jul</v>
          </cell>
          <cell r="H191">
            <v>14127.8</v>
          </cell>
        </row>
        <row r="192">
          <cell r="A192" t="str">
            <v>2Pac</v>
          </cell>
          <cell r="H192">
            <v>14116.7</v>
          </cell>
        </row>
        <row r="193">
          <cell r="A193" t="str">
            <v>Gorillaz</v>
          </cell>
          <cell r="H193">
            <v>14104.4</v>
          </cell>
        </row>
        <row r="194">
          <cell r="A194" t="str">
            <v>Lewis Capaldi</v>
          </cell>
          <cell r="H194">
            <v>14087.8</v>
          </cell>
        </row>
        <row r="195">
          <cell r="A195" t="str">
            <v>Grupo Frontera</v>
          </cell>
          <cell r="H195">
            <v>13999.3</v>
          </cell>
        </row>
        <row r="196">
          <cell r="A196" t="str">
            <v>Camilo</v>
          </cell>
          <cell r="H196">
            <v>13994.1</v>
          </cell>
        </row>
        <row r="197">
          <cell r="A197" t="str">
            <v>Lenny Tavárez</v>
          </cell>
          <cell r="H197">
            <v>13994</v>
          </cell>
        </row>
        <row r="198">
          <cell r="A198" t="str">
            <v>2 Chainz</v>
          </cell>
          <cell r="H198">
            <v>13978.6</v>
          </cell>
        </row>
        <row r="199">
          <cell r="A199" t="str">
            <v>NF</v>
          </cell>
          <cell r="H199">
            <v>13891.9</v>
          </cell>
        </row>
        <row r="200">
          <cell r="A200" t="str">
            <v>Bryson Tiller</v>
          </cell>
          <cell r="H200">
            <v>13890.6</v>
          </cell>
        </row>
        <row r="201">
          <cell r="A201" t="str">
            <v>Rels B</v>
          </cell>
          <cell r="H201">
            <v>13734.1</v>
          </cell>
        </row>
        <row r="202">
          <cell r="A202" t="str">
            <v>Roddy Ricch</v>
          </cell>
          <cell r="H202">
            <v>13692</v>
          </cell>
        </row>
        <row r="203">
          <cell r="A203" t="str">
            <v>Guns N' Roses</v>
          </cell>
          <cell r="H203">
            <v>13683</v>
          </cell>
        </row>
        <row r="204">
          <cell r="A204" t="str">
            <v>Mariah Carey</v>
          </cell>
          <cell r="H204">
            <v>13650.2</v>
          </cell>
        </row>
        <row r="205">
          <cell r="A205" t="str">
            <v>Noah Kahan</v>
          </cell>
          <cell r="H205">
            <v>13543.1</v>
          </cell>
        </row>
        <row r="206">
          <cell r="A206" t="str">
            <v>Megan Thee Stallion</v>
          </cell>
          <cell r="H206">
            <v>13532</v>
          </cell>
        </row>
        <row r="207">
          <cell r="A207" t="str">
            <v>Christian Nodal</v>
          </cell>
          <cell r="H207">
            <v>13503.4</v>
          </cell>
        </row>
        <row r="208">
          <cell r="A208" t="str">
            <v>Brent Faiyaz</v>
          </cell>
          <cell r="H208">
            <v>13490.4</v>
          </cell>
        </row>
        <row r="209">
          <cell r="A209" t="str">
            <v>Martin Garrix</v>
          </cell>
          <cell r="H209">
            <v>13468.7</v>
          </cell>
        </row>
        <row r="210">
          <cell r="A210" t="str">
            <v>Banda MS de Sergio Lizárraga</v>
          </cell>
          <cell r="H210">
            <v>13433.6</v>
          </cell>
        </row>
        <row r="211">
          <cell r="A211" t="str">
            <v>Pink Floyd</v>
          </cell>
          <cell r="H211">
            <v>13404.2</v>
          </cell>
        </row>
        <row r="212">
          <cell r="A212" t="str">
            <v>mgk</v>
          </cell>
          <cell r="H212">
            <v>13398.3</v>
          </cell>
        </row>
        <row r="213">
          <cell r="A213" t="str">
            <v>Wisin &amp; Yandel</v>
          </cell>
          <cell r="H213">
            <v>13323.2</v>
          </cell>
        </row>
        <row r="214">
          <cell r="A214" t="str">
            <v>Dr. Dre</v>
          </cell>
          <cell r="H214">
            <v>13320.3</v>
          </cell>
        </row>
        <row r="215">
          <cell r="A215" t="str">
            <v>Mora</v>
          </cell>
          <cell r="H215">
            <v>13291</v>
          </cell>
        </row>
        <row r="216">
          <cell r="A216" t="str">
            <v>Cigarettes After Sex</v>
          </cell>
          <cell r="H216">
            <v>13287</v>
          </cell>
        </row>
        <row r="217">
          <cell r="A217" t="str">
            <v>Childish Gambino</v>
          </cell>
          <cell r="H217">
            <v>13281.8</v>
          </cell>
        </row>
        <row r="218">
          <cell r="A218" t="str">
            <v>Wisin</v>
          </cell>
          <cell r="H218">
            <v>13273.4</v>
          </cell>
        </row>
        <row r="219">
          <cell r="A219" t="str">
            <v>Major Lazer</v>
          </cell>
          <cell r="H219">
            <v>13220.4</v>
          </cell>
        </row>
        <row r="220">
          <cell r="A220" t="str">
            <v>John Mayer</v>
          </cell>
          <cell r="H220">
            <v>13208.3</v>
          </cell>
        </row>
        <row r="221">
          <cell r="A221" t="str">
            <v>Miguel</v>
          </cell>
          <cell r="H221">
            <v>13065.7</v>
          </cell>
        </row>
        <row r="222">
          <cell r="A222" t="str">
            <v>Lil Nas X</v>
          </cell>
          <cell r="H222">
            <v>13039.8</v>
          </cell>
        </row>
        <row r="223">
          <cell r="A223" t="str">
            <v>System Of A Down</v>
          </cell>
          <cell r="H223">
            <v>13009.4</v>
          </cell>
        </row>
        <row r="224">
          <cell r="A224" t="str">
            <v>Logic</v>
          </cell>
          <cell r="H224">
            <v>12994.4</v>
          </cell>
        </row>
        <row r="225">
          <cell r="A225" t="str">
            <v>ABBA</v>
          </cell>
          <cell r="H225">
            <v>12992.2</v>
          </cell>
        </row>
        <row r="226">
          <cell r="A226" t="str">
            <v>Becky G</v>
          </cell>
          <cell r="H226">
            <v>12985.2</v>
          </cell>
        </row>
        <row r="227">
          <cell r="A227" t="str">
            <v>Yandel</v>
          </cell>
          <cell r="H227">
            <v>12929.7</v>
          </cell>
        </row>
        <row r="228">
          <cell r="A228" t="str">
            <v>Enrique Iglesias</v>
          </cell>
          <cell r="H228">
            <v>12857.9</v>
          </cell>
        </row>
        <row r="229">
          <cell r="A229" t="str">
            <v>Lil Yachty</v>
          </cell>
          <cell r="H229">
            <v>12823.8</v>
          </cell>
        </row>
        <row r="230">
          <cell r="A230" t="str">
            <v>Luis R Conriquez</v>
          </cell>
          <cell r="H230">
            <v>12810.9</v>
          </cell>
        </row>
        <row r="231">
          <cell r="A231" t="str">
            <v>Zion &amp; Lennox</v>
          </cell>
          <cell r="H231">
            <v>12799.8</v>
          </cell>
        </row>
        <row r="232">
          <cell r="A232" t="str">
            <v>5 Seconds of Summer</v>
          </cell>
          <cell r="H232">
            <v>12788.3</v>
          </cell>
        </row>
        <row r="233">
          <cell r="A233" t="str">
            <v>Jack Harlow</v>
          </cell>
          <cell r="H233">
            <v>12751</v>
          </cell>
        </row>
        <row r="234">
          <cell r="A234" t="str">
            <v>TWICE</v>
          </cell>
          <cell r="H234">
            <v>12716.2</v>
          </cell>
        </row>
        <row r="235">
          <cell r="A235" t="str">
            <v>Ñengo Flow</v>
          </cell>
          <cell r="H235">
            <v>12713.2</v>
          </cell>
        </row>
        <row r="236">
          <cell r="A236" t="str">
            <v>Ava Max</v>
          </cell>
          <cell r="H236">
            <v>12700.7</v>
          </cell>
        </row>
        <row r="237">
          <cell r="A237" t="str">
            <v>ZAYN</v>
          </cell>
          <cell r="H237">
            <v>12650.8</v>
          </cell>
        </row>
        <row r="238">
          <cell r="A238" t="str">
            <v>Michael Bublé</v>
          </cell>
          <cell r="H238">
            <v>12647.5</v>
          </cell>
        </row>
        <row r="239">
          <cell r="A239" t="str">
            <v>Macklemore</v>
          </cell>
          <cell r="H239">
            <v>12593.2</v>
          </cell>
        </row>
        <row r="240">
          <cell r="A240" t="str">
            <v>Anne-Marie</v>
          </cell>
          <cell r="H240">
            <v>12593</v>
          </cell>
        </row>
        <row r="241">
          <cell r="A241" t="str">
            <v>The Rolling Stones</v>
          </cell>
          <cell r="H241">
            <v>12566.2</v>
          </cell>
        </row>
        <row r="242">
          <cell r="A242" t="str">
            <v>Frank Sinatra</v>
          </cell>
          <cell r="H242">
            <v>12421.7</v>
          </cell>
        </row>
        <row r="243">
          <cell r="A243" t="str">
            <v>Robin Schulz</v>
          </cell>
          <cell r="H243">
            <v>12403.3</v>
          </cell>
        </row>
        <row r="244">
          <cell r="A244" t="str">
            <v>Bryant Myers</v>
          </cell>
          <cell r="H244">
            <v>12394.6</v>
          </cell>
        </row>
        <row r="245">
          <cell r="A245" t="str">
            <v>Gusttavo Lima</v>
          </cell>
          <cell r="H245">
            <v>12324.9</v>
          </cell>
        </row>
        <row r="246">
          <cell r="A246" t="str">
            <v>Eladio Carrion</v>
          </cell>
          <cell r="H246">
            <v>12209.5</v>
          </cell>
        </row>
        <row r="247">
          <cell r="A247" t="str">
            <v>Grupo Firme</v>
          </cell>
          <cell r="H247">
            <v>12151.3</v>
          </cell>
        </row>
        <row r="248">
          <cell r="A248" t="str">
            <v>Amitabh Bhattacharya</v>
          </cell>
          <cell r="H248">
            <v>12136.7</v>
          </cell>
        </row>
        <row r="249">
          <cell r="A249" t="str">
            <v>Alicia Keys</v>
          </cell>
          <cell r="H249">
            <v>12099.6</v>
          </cell>
        </row>
        <row r="250">
          <cell r="A250" t="str">
            <v>Kesha</v>
          </cell>
          <cell r="H250">
            <v>12094.7</v>
          </cell>
        </row>
        <row r="251">
          <cell r="A251" t="str">
            <v>LAUV</v>
          </cell>
          <cell r="H251">
            <v>11966.9</v>
          </cell>
        </row>
        <row r="252">
          <cell r="A252" t="str">
            <v>Madonna</v>
          </cell>
          <cell r="H252">
            <v>11879.6</v>
          </cell>
        </row>
        <row r="253">
          <cell r="A253" t="str">
            <v>Reik</v>
          </cell>
          <cell r="H253">
            <v>11853.7</v>
          </cell>
        </row>
        <row r="254">
          <cell r="A254" t="str">
            <v>John Legend</v>
          </cell>
          <cell r="H254">
            <v>11821.6</v>
          </cell>
        </row>
        <row r="255">
          <cell r="A255" t="str">
            <v>Meghan Trainor</v>
          </cell>
          <cell r="H255">
            <v>11817.1</v>
          </cell>
        </row>
        <row r="256">
          <cell r="A256" t="str">
            <v>Lil Tecca</v>
          </cell>
          <cell r="H256">
            <v>11783.3</v>
          </cell>
        </row>
        <row r="257">
          <cell r="A257" t="str">
            <v>Lorde</v>
          </cell>
          <cell r="H257">
            <v>11721</v>
          </cell>
        </row>
        <row r="258">
          <cell r="A258" t="str">
            <v>MC Ryan SP</v>
          </cell>
          <cell r="H258">
            <v>11715.1</v>
          </cell>
        </row>
        <row r="259">
          <cell r="A259" t="str">
            <v>Chris Stapleton</v>
          </cell>
          <cell r="H259">
            <v>11678.7</v>
          </cell>
        </row>
        <row r="260">
          <cell r="A260" t="str">
            <v>French Montana</v>
          </cell>
          <cell r="H260">
            <v>11640.6</v>
          </cell>
        </row>
        <row r="261">
          <cell r="A261" t="str">
            <v>Melanie Martinez</v>
          </cell>
          <cell r="H261">
            <v>11632.9</v>
          </cell>
        </row>
        <row r="262">
          <cell r="A262" t="str">
            <v>Elvis Presley</v>
          </cell>
          <cell r="H262">
            <v>11588.8</v>
          </cell>
        </row>
        <row r="263">
          <cell r="A263" t="str">
            <v>Rick Ross</v>
          </cell>
          <cell r="H263">
            <v>11575.2</v>
          </cell>
        </row>
        <row r="264">
          <cell r="A264" t="str">
            <v>Cris MJ</v>
          </cell>
          <cell r="H264">
            <v>11566.2</v>
          </cell>
        </row>
        <row r="265">
          <cell r="A265" t="str">
            <v>Zedd</v>
          </cell>
          <cell r="H265">
            <v>11481.4</v>
          </cell>
        </row>
        <row r="266">
          <cell r="A266" t="str">
            <v>Paramore</v>
          </cell>
          <cell r="H266">
            <v>11480.4</v>
          </cell>
        </row>
        <row r="267">
          <cell r="A267" t="str">
            <v>Chance the Rapper</v>
          </cell>
          <cell r="H267">
            <v>11475.1</v>
          </cell>
        </row>
        <row r="268">
          <cell r="A268" t="str">
            <v>Ninho</v>
          </cell>
          <cell r="H268">
            <v>11459.5</v>
          </cell>
        </row>
        <row r="269">
          <cell r="A269" t="str">
            <v>blackbear</v>
          </cell>
          <cell r="H269">
            <v>11428.5</v>
          </cell>
        </row>
        <row r="270">
          <cell r="A270" t="str">
            <v>Creedence Clearwater Revival</v>
          </cell>
          <cell r="H270">
            <v>11314.2</v>
          </cell>
        </row>
        <row r="271">
          <cell r="A271" t="str">
            <v>T-Pain</v>
          </cell>
          <cell r="H271">
            <v>11238.2</v>
          </cell>
        </row>
        <row r="272">
          <cell r="A272" t="str">
            <v>Jung Kook</v>
          </cell>
          <cell r="H272">
            <v>11232.6</v>
          </cell>
        </row>
        <row r="273">
          <cell r="A273" t="str">
            <v>Skrillex</v>
          </cell>
          <cell r="H273">
            <v>11198.8</v>
          </cell>
        </row>
        <row r="274">
          <cell r="A274" t="str">
            <v>DJ Khaled</v>
          </cell>
          <cell r="H274">
            <v>11196</v>
          </cell>
        </row>
        <row r="275">
          <cell r="A275" t="str">
            <v>Wizkid</v>
          </cell>
          <cell r="H275">
            <v>11149</v>
          </cell>
        </row>
        <row r="276">
          <cell r="A276" t="str">
            <v>Oasis</v>
          </cell>
          <cell r="H276">
            <v>11063.6</v>
          </cell>
        </row>
        <row r="277">
          <cell r="A277" t="str">
            <v>Christina Aguilera</v>
          </cell>
          <cell r="H277">
            <v>11060.5</v>
          </cell>
        </row>
        <row r="278">
          <cell r="A278" t="str">
            <v>Slipknot</v>
          </cell>
          <cell r="H278">
            <v>11051.4</v>
          </cell>
        </row>
        <row r="279">
          <cell r="A279" t="str">
            <v>Irshad Kamil</v>
          </cell>
          <cell r="H279">
            <v>11014.9</v>
          </cell>
        </row>
        <row r="280">
          <cell r="A280" t="str">
            <v>Little Mix</v>
          </cell>
          <cell r="H280">
            <v>10985.7</v>
          </cell>
        </row>
        <row r="281">
          <cell r="A281" t="str">
            <v>Beéle</v>
          </cell>
          <cell r="H281">
            <v>10974</v>
          </cell>
        </row>
        <row r="282">
          <cell r="A282" t="str">
            <v>The Notorious B.I.G.</v>
          </cell>
          <cell r="H282">
            <v>10968.8</v>
          </cell>
        </row>
        <row r="283">
          <cell r="A283" t="str">
            <v>Mitski</v>
          </cell>
          <cell r="H283">
            <v>10939.4</v>
          </cell>
        </row>
        <row r="284">
          <cell r="A284" t="str">
            <v>Tainy</v>
          </cell>
          <cell r="H284">
            <v>10933.4</v>
          </cell>
        </row>
        <row r="285">
          <cell r="A285" t="str">
            <v>Zé Neto &amp; Cristiano</v>
          </cell>
          <cell r="H285">
            <v>10914.2</v>
          </cell>
        </row>
        <row r="286">
          <cell r="A286" t="str">
            <v>Rammstein</v>
          </cell>
          <cell r="H286">
            <v>10902.6</v>
          </cell>
        </row>
        <row r="287">
          <cell r="A287" t="str">
            <v>Labrinth</v>
          </cell>
          <cell r="H287">
            <v>10783.2</v>
          </cell>
        </row>
        <row r="288">
          <cell r="A288" t="str">
            <v>Chencho Corleone</v>
          </cell>
          <cell r="H288">
            <v>10776.2</v>
          </cell>
        </row>
        <row r="289">
          <cell r="A289" t="str">
            <v>Darell</v>
          </cell>
          <cell r="H289">
            <v>10772</v>
          </cell>
        </row>
        <row r="290">
          <cell r="A290" t="str">
            <v>Bon Jovi</v>
          </cell>
          <cell r="H290">
            <v>10771.3</v>
          </cell>
        </row>
        <row r="291">
          <cell r="A291" t="str">
            <v>The Killers</v>
          </cell>
          <cell r="H291">
            <v>10767.6</v>
          </cell>
        </row>
        <row r="292">
          <cell r="A292" t="str">
            <v>blink-182</v>
          </cell>
          <cell r="H292">
            <v>10760.4</v>
          </cell>
        </row>
        <row r="293">
          <cell r="A293" t="str">
            <v>Summer Walker</v>
          </cell>
          <cell r="H293">
            <v>10756.4</v>
          </cell>
        </row>
        <row r="294">
          <cell r="A294" t="str">
            <v>Jhené Aiko</v>
          </cell>
          <cell r="H294">
            <v>10731.7</v>
          </cell>
        </row>
        <row r="295">
          <cell r="A295" t="str">
            <v>Kehlani</v>
          </cell>
          <cell r="H295">
            <v>10712.8</v>
          </cell>
        </row>
        <row r="296">
          <cell r="A296" t="str">
            <v>Clean Bandit</v>
          </cell>
          <cell r="H296">
            <v>10711.2</v>
          </cell>
        </row>
        <row r="297">
          <cell r="A297" t="str">
            <v>David Bowie</v>
          </cell>
          <cell r="H297">
            <v>10696.6</v>
          </cell>
        </row>
        <row r="298">
          <cell r="A298" t="str">
            <v>U2</v>
          </cell>
          <cell r="H298">
            <v>10616.1</v>
          </cell>
        </row>
        <row r="299">
          <cell r="A299" t="str">
            <v>Aventura</v>
          </cell>
          <cell r="H299">
            <v>10607</v>
          </cell>
        </row>
        <row r="300">
          <cell r="A300" t="str">
            <v>Foo Fighters</v>
          </cell>
          <cell r="H300">
            <v>10571.1</v>
          </cell>
        </row>
        <row r="301">
          <cell r="A301" t="str">
            <v>The 1975</v>
          </cell>
          <cell r="H301">
            <v>10489.6</v>
          </cell>
        </row>
        <row r="302">
          <cell r="A302" t="str">
            <v>Maria Becerra</v>
          </cell>
          <cell r="H302">
            <v>10476.9</v>
          </cell>
        </row>
        <row r="303">
          <cell r="A303" t="str">
            <v>Plan B</v>
          </cell>
          <cell r="H303">
            <v>10449</v>
          </cell>
        </row>
        <row r="304">
          <cell r="A304" t="str">
            <v>Steve Lacy</v>
          </cell>
          <cell r="H304">
            <v>10368.700000000001</v>
          </cell>
        </row>
        <row r="305">
          <cell r="A305" t="str">
            <v>De La Ghetto</v>
          </cell>
          <cell r="H305">
            <v>10352.799999999999</v>
          </cell>
        </row>
        <row r="306">
          <cell r="A306" t="str">
            <v>Troye Sivan</v>
          </cell>
          <cell r="H306">
            <v>10332.799999999999</v>
          </cell>
        </row>
        <row r="307">
          <cell r="A307" t="str">
            <v>Conan Gray</v>
          </cell>
          <cell r="H307">
            <v>10313.5</v>
          </cell>
        </row>
        <row r="308">
          <cell r="A308" t="str">
            <v>Ludacris</v>
          </cell>
          <cell r="H308">
            <v>10293</v>
          </cell>
        </row>
        <row r="309">
          <cell r="A309" t="str">
            <v>Burna Boy</v>
          </cell>
          <cell r="H309">
            <v>10290.6</v>
          </cell>
        </row>
        <row r="310">
          <cell r="A310" t="str">
            <v>Danny Ocean</v>
          </cell>
          <cell r="H310">
            <v>10234.299999999999</v>
          </cell>
        </row>
        <row r="311">
          <cell r="A311" t="str">
            <v>Meek Mill</v>
          </cell>
          <cell r="H311">
            <v>10231.200000000001</v>
          </cell>
        </row>
        <row r="312">
          <cell r="A312" t="str">
            <v>My Chemical Romance</v>
          </cell>
          <cell r="H312">
            <v>10180.200000000001</v>
          </cell>
        </row>
        <row r="313">
          <cell r="A313" t="str">
            <v>Alessia Cara</v>
          </cell>
          <cell r="H313">
            <v>10179.299999999999</v>
          </cell>
        </row>
        <row r="314">
          <cell r="A314" t="str">
            <v>Vishal-Shekhar</v>
          </cell>
          <cell r="H314">
            <v>10165</v>
          </cell>
        </row>
        <row r="315">
          <cell r="A315" t="str">
            <v>Paulo Londra</v>
          </cell>
          <cell r="H315">
            <v>10160.5</v>
          </cell>
        </row>
        <row r="316">
          <cell r="A316" t="str">
            <v>La Arrolladora Banda El Limón De Rene Camacho</v>
          </cell>
          <cell r="H316">
            <v>10147.9</v>
          </cell>
        </row>
        <row r="317">
          <cell r="A317" t="str">
            <v>Yeat</v>
          </cell>
          <cell r="H317">
            <v>10141.700000000001</v>
          </cell>
        </row>
        <row r="318">
          <cell r="A318" t="str">
            <v>Matheus &amp; Kauan</v>
          </cell>
          <cell r="H318">
            <v>10122.5</v>
          </cell>
        </row>
        <row r="319">
          <cell r="A319" t="str">
            <v>Alok</v>
          </cell>
          <cell r="H319">
            <v>10115.700000000001</v>
          </cell>
        </row>
        <row r="320">
          <cell r="A320" t="str">
            <v>Bring Me The Horizon</v>
          </cell>
          <cell r="H320">
            <v>10108</v>
          </cell>
        </row>
        <row r="321">
          <cell r="A321" t="str">
            <v>Central Cee</v>
          </cell>
          <cell r="H321">
            <v>10095.5</v>
          </cell>
        </row>
        <row r="322">
          <cell r="A322" t="str">
            <v>League of Legends</v>
          </cell>
          <cell r="H322">
            <v>10048.299999999999</v>
          </cell>
        </row>
        <row r="323">
          <cell r="A323" t="str">
            <v>Mac DeMarco</v>
          </cell>
          <cell r="H323">
            <v>9970.2000000000007</v>
          </cell>
        </row>
        <row r="324">
          <cell r="A324" t="str">
            <v>Benson Boone</v>
          </cell>
          <cell r="H324">
            <v>9949.6</v>
          </cell>
        </row>
        <row r="325">
          <cell r="A325" t="str">
            <v>Dalex</v>
          </cell>
          <cell r="H325">
            <v>9948.7000000000007</v>
          </cell>
        </row>
        <row r="326">
          <cell r="A326" t="str">
            <v>Nickelback</v>
          </cell>
          <cell r="H326">
            <v>9933.4</v>
          </cell>
        </row>
        <row r="327">
          <cell r="A327" t="str">
            <v>Marc Anthony</v>
          </cell>
          <cell r="H327">
            <v>9914.5</v>
          </cell>
        </row>
        <row r="328">
          <cell r="A328" t="str">
            <v>Maná</v>
          </cell>
          <cell r="H328">
            <v>9914.4</v>
          </cell>
        </row>
        <row r="329">
          <cell r="A329" t="str">
            <v>Led Zeppelin</v>
          </cell>
          <cell r="H329">
            <v>9909.5</v>
          </cell>
        </row>
        <row r="330">
          <cell r="A330" t="str">
            <v>Måneskin</v>
          </cell>
          <cell r="H330">
            <v>9899.4</v>
          </cell>
        </row>
        <row r="331">
          <cell r="A331" t="str">
            <v>Florida Georgia Line</v>
          </cell>
          <cell r="H331">
            <v>9869.2999999999993</v>
          </cell>
        </row>
        <row r="332">
          <cell r="A332" t="str">
            <v>Luis Fonsi</v>
          </cell>
          <cell r="H332">
            <v>9862.6</v>
          </cell>
        </row>
        <row r="333">
          <cell r="A333" t="str">
            <v>RAYE</v>
          </cell>
          <cell r="H333">
            <v>9859.6</v>
          </cell>
        </row>
        <row r="334">
          <cell r="A334" t="str">
            <v>Neton Vega</v>
          </cell>
          <cell r="H334">
            <v>9854</v>
          </cell>
        </row>
        <row r="335">
          <cell r="A335" t="str">
            <v>Gracie Abrams</v>
          </cell>
          <cell r="H335">
            <v>9797.7999999999993</v>
          </cell>
        </row>
        <row r="336">
          <cell r="A336" t="str">
            <v>Timbaland</v>
          </cell>
          <cell r="H336">
            <v>9734</v>
          </cell>
        </row>
        <row r="337">
          <cell r="A337" t="str">
            <v>Jeremih</v>
          </cell>
          <cell r="H337">
            <v>9713</v>
          </cell>
        </row>
        <row r="338">
          <cell r="A338" t="str">
            <v>The Lumineers</v>
          </cell>
          <cell r="H338">
            <v>9666.1</v>
          </cell>
        </row>
        <row r="339">
          <cell r="A339" t="str">
            <v>Oscar Maydon</v>
          </cell>
          <cell r="H339">
            <v>9609</v>
          </cell>
        </row>
        <row r="340">
          <cell r="A340" t="str">
            <v>Anderson .Paak</v>
          </cell>
          <cell r="H340">
            <v>9513.7000000000007</v>
          </cell>
        </row>
        <row r="341">
          <cell r="A341" t="str">
            <v>Chase Atlantic</v>
          </cell>
          <cell r="H341">
            <v>9513</v>
          </cell>
        </row>
        <row r="342">
          <cell r="A342" t="str">
            <v>Julión Álvarez y su Norteño Banda</v>
          </cell>
          <cell r="H342">
            <v>9503.2999999999993</v>
          </cell>
        </row>
        <row r="343">
          <cell r="A343" t="str">
            <v>Prince Royce</v>
          </cell>
          <cell r="H343">
            <v>9495.2000000000007</v>
          </cell>
        </row>
        <row r="344">
          <cell r="A344" t="str">
            <v>Bastille</v>
          </cell>
          <cell r="H344">
            <v>9439.9</v>
          </cell>
        </row>
        <row r="345">
          <cell r="A345" t="str">
            <v>Sfera Ebbasta</v>
          </cell>
          <cell r="H345">
            <v>9437.2999999999993</v>
          </cell>
        </row>
        <row r="346">
          <cell r="A346" t="str">
            <v>Florence + The Machine</v>
          </cell>
          <cell r="H346">
            <v>9401</v>
          </cell>
        </row>
        <row r="347">
          <cell r="A347" t="str">
            <v>YG</v>
          </cell>
          <cell r="H347">
            <v>9362.2999999999993</v>
          </cell>
        </row>
        <row r="348">
          <cell r="A348" t="str">
            <v>Alejandro Sanz</v>
          </cell>
          <cell r="H348">
            <v>9340.1</v>
          </cell>
        </row>
        <row r="349">
          <cell r="A349" t="str">
            <v>Lil Tjay</v>
          </cell>
          <cell r="H349">
            <v>9314.7999999999993</v>
          </cell>
        </row>
        <row r="350">
          <cell r="A350" t="str">
            <v>GIVĒON</v>
          </cell>
          <cell r="H350">
            <v>9302.9</v>
          </cell>
        </row>
        <row r="351">
          <cell r="A351" t="str">
            <v>Billy Joel</v>
          </cell>
          <cell r="H351">
            <v>9290.9</v>
          </cell>
        </row>
        <row r="352">
          <cell r="A352" t="str">
            <v>Luke Bryan</v>
          </cell>
          <cell r="H352">
            <v>9213.5</v>
          </cell>
        </row>
        <row r="353">
          <cell r="A353" t="str">
            <v>Muse</v>
          </cell>
          <cell r="H353">
            <v>9212.4</v>
          </cell>
        </row>
        <row r="354">
          <cell r="A354" t="str">
            <v>Jonas Blue</v>
          </cell>
          <cell r="H354">
            <v>9206.7000000000007</v>
          </cell>
        </row>
        <row r="355">
          <cell r="A355" t="str">
            <v>Teddy Swims</v>
          </cell>
          <cell r="H355">
            <v>9177.5</v>
          </cell>
        </row>
        <row r="356">
          <cell r="A356" t="str">
            <v>Juanes</v>
          </cell>
          <cell r="H356">
            <v>9121.6</v>
          </cell>
        </row>
        <row r="357">
          <cell r="A357" t="str">
            <v>Jennifer Lopez</v>
          </cell>
          <cell r="H357">
            <v>9115.7000000000007</v>
          </cell>
        </row>
        <row r="358">
          <cell r="A358" t="str">
            <v>Cartel De Santa</v>
          </cell>
          <cell r="H358">
            <v>9107.5</v>
          </cell>
        </row>
        <row r="359">
          <cell r="A359" t="str">
            <v>T.I.</v>
          </cell>
          <cell r="H359">
            <v>9084.9</v>
          </cell>
        </row>
        <row r="360">
          <cell r="A360" t="str">
            <v>Gabito Ballesteros</v>
          </cell>
          <cell r="H360">
            <v>9076.4</v>
          </cell>
        </row>
        <row r="361">
          <cell r="A361" t="str">
            <v>El Alfa</v>
          </cell>
          <cell r="H361">
            <v>9056.5</v>
          </cell>
        </row>
        <row r="362">
          <cell r="A362" t="str">
            <v>Alka Yagnik</v>
          </cell>
          <cell r="H362">
            <v>8988.2000000000007</v>
          </cell>
        </row>
        <row r="363">
          <cell r="A363" t="str">
            <v>Blessd</v>
          </cell>
          <cell r="H363">
            <v>8965</v>
          </cell>
        </row>
        <row r="364">
          <cell r="A364" t="str">
            <v>NATTI NATASHA</v>
          </cell>
          <cell r="H364">
            <v>8960.1</v>
          </cell>
        </row>
        <row r="365">
          <cell r="A365" t="str">
            <v>Bruce Springsteen</v>
          </cell>
          <cell r="H365">
            <v>8927.6</v>
          </cell>
        </row>
        <row r="366">
          <cell r="A366" t="str">
            <v>Alfredo Olivas</v>
          </cell>
          <cell r="H366">
            <v>8916</v>
          </cell>
        </row>
        <row r="367">
          <cell r="A367" t="str">
            <v>Jonas Brothers</v>
          </cell>
          <cell r="H367">
            <v>8909.9</v>
          </cell>
        </row>
        <row r="368">
          <cell r="A368" t="str">
            <v>Hans Zimmer</v>
          </cell>
          <cell r="H368">
            <v>8906.9</v>
          </cell>
        </row>
        <row r="369">
          <cell r="A369" t="str">
            <v>Julia Michaels</v>
          </cell>
          <cell r="H369">
            <v>8899.6</v>
          </cell>
        </row>
        <row r="370">
          <cell r="A370" t="str">
            <v>Deftones</v>
          </cell>
          <cell r="H370">
            <v>8848.2999999999993</v>
          </cell>
        </row>
        <row r="371">
          <cell r="A371" t="str">
            <v>Clairo</v>
          </cell>
          <cell r="H371">
            <v>8831</v>
          </cell>
        </row>
        <row r="372">
          <cell r="A372" t="str">
            <v>Whitney Houston</v>
          </cell>
          <cell r="H372">
            <v>8828.7999999999993</v>
          </cell>
        </row>
        <row r="373">
          <cell r="A373" t="str">
            <v>Tove Lo</v>
          </cell>
          <cell r="H373">
            <v>8809.4</v>
          </cell>
        </row>
        <row r="374">
          <cell r="A374" t="str">
            <v>DJ Luian</v>
          </cell>
          <cell r="H374">
            <v>8801.6</v>
          </cell>
        </row>
        <row r="375">
          <cell r="A375" t="str">
            <v>Amy Winehouse</v>
          </cell>
          <cell r="H375">
            <v>8780.4</v>
          </cell>
        </row>
        <row r="376">
          <cell r="A376" t="str">
            <v>TV Girl</v>
          </cell>
          <cell r="H376">
            <v>8779.9</v>
          </cell>
        </row>
        <row r="377">
          <cell r="A377" t="str">
            <v>Tanishk Bagchi</v>
          </cell>
          <cell r="H377">
            <v>8733</v>
          </cell>
        </row>
        <row r="378">
          <cell r="A378" t="str">
            <v>Dave</v>
          </cell>
          <cell r="H378">
            <v>8715.2000000000007</v>
          </cell>
        </row>
        <row r="379">
          <cell r="A379" t="str">
            <v>Avril Lavigne</v>
          </cell>
          <cell r="H379">
            <v>8706.4</v>
          </cell>
        </row>
        <row r="380">
          <cell r="A380" t="str">
            <v>Lost Frequencies</v>
          </cell>
          <cell r="H380">
            <v>8699.2000000000007</v>
          </cell>
        </row>
        <row r="381">
          <cell r="A381" t="str">
            <v>Kings of Leon</v>
          </cell>
          <cell r="H381">
            <v>8647.7999999999993</v>
          </cell>
        </row>
        <row r="382">
          <cell r="A382" t="str">
            <v>Joan Sebastian</v>
          </cell>
          <cell r="H382">
            <v>8622.1</v>
          </cell>
        </row>
        <row r="383">
          <cell r="A383" t="str">
            <v>Alejandro Fernández</v>
          </cell>
          <cell r="H383">
            <v>8617.1</v>
          </cell>
        </row>
        <row r="384">
          <cell r="A384" t="str">
            <v>Glass Animals</v>
          </cell>
          <cell r="H384">
            <v>8591.1</v>
          </cell>
        </row>
        <row r="385">
          <cell r="A385" t="str">
            <v>Sachin-Jigar</v>
          </cell>
          <cell r="H385">
            <v>8584.2000000000007</v>
          </cell>
        </row>
        <row r="386">
          <cell r="A386" t="str">
            <v>Fetty Wap</v>
          </cell>
          <cell r="H386">
            <v>8564.5</v>
          </cell>
        </row>
        <row r="387">
          <cell r="A387" t="str">
            <v>NAV</v>
          </cell>
          <cell r="H387">
            <v>8564.4</v>
          </cell>
        </row>
        <row r="388">
          <cell r="A388" t="str">
            <v>Jack Johnson</v>
          </cell>
          <cell r="H388">
            <v>8551.4</v>
          </cell>
        </row>
        <row r="389">
          <cell r="A389" t="str">
            <v>SEVENTEEN</v>
          </cell>
          <cell r="H389">
            <v>8531.2999999999993</v>
          </cell>
        </row>
        <row r="390">
          <cell r="A390" t="str">
            <v>The Script</v>
          </cell>
          <cell r="H390">
            <v>8509.5</v>
          </cell>
        </row>
        <row r="391">
          <cell r="A391" t="str">
            <v>TINI</v>
          </cell>
          <cell r="H391">
            <v>8507.9</v>
          </cell>
        </row>
        <row r="392">
          <cell r="A392" t="str">
            <v>Backstreet Boys</v>
          </cell>
          <cell r="H392">
            <v>8485.9</v>
          </cell>
        </row>
        <row r="393">
          <cell r="A393" t="str">
            <v>Jimin</v>
          </cell>
          <cell r="H393">
            <v>8472.9</v>
          </cell>
        </row>
        <row r="394">
          <cell r="A394" t="str">
            <v>Mambo Kingz</v>
          </cell>
          <cell r="H394">
            <v>8457.4</v>
          </cell>
        </row>
        <row r="395">
          <cell r="A395" t="str">
            <v>NLE Choppa</v>
          </cell>
          <cell r="H395">
            <v>8453.7000000000007</v>
          </cell>
        </row>
        <row r="396">
          <cell r="A396" t="str">
            <v>GIMS</v>
          </cell>
          <cell r="H396">
            <v>8439.5</v>
          </cell>
        </row>
        <row r="397">
          <cell r="A397" t="str">
            <v>Calibre 50</v>
          </cell>
          <cell r="H397">
            <v>8433.7999999999993</v>
          </cell>
        </row>
        <row r="398">
          <cell r="A398" t="str">
            <v>Chappell Roan</v>
          </cell>
          <cell r="H398">
            <v>8382.9</v>
          </cell>
        </row>
        <row r="399">
          <cell r="A399" t="str">
            <v>Stevie Wonder</v>
          </cell>
          <cell r="H399">
            <v>8371.5</v>
          </cell>
        </row>
        <row r="400">
          <cell r="A400" t="str">
            <v>Juicy J</v>
          </cell>
          <cell r="H400">
            <v>8370.9</v>
          </cell>
        </row>
        <row r="401">
          <cell r="A401" t="str">
            <v>Mark Ronson</v>
          </cell>
          <cell r="H401">
            <v>8366.2999999999993</v>
          </cell>
        </row>
        <row r="402">
          <cell r="A402" t="str">
            <v>Kelly Clarkson</v>
          </cell>
          <cell r="H402">
            <v>8339.2999999999993</v>
          </cell>
        </row>
        <row r="403">
          <cell r="A403" t="str">
            <v>The Offspring</v>
          </cell>
          <cell r="H403">
            <v>8330.4</v>
          </cell>
        </row>
        <row r="404">
          <cell r="A404" t="str">
            <v>Bonez MC</v>
          </cell>
          <cell r="H404">
            <v>8326.7000000000007</v>
          </cell>
        </row>
        <row r="405">
          <cell r="A405" t="str">
            <v>Bibi Blocksberg</v>
          </cell>
          <cell r="H405">
            <v>8316.5</v>
          </cell>
        </row>
        <row r="406">
          <cell r="A406" t="str">
            <v>Milo j</v>
          </cell>
          <cell r="H406">
            <v>8309.1</v>
          </cell>
        </row>
        <row r="407">
          <cell r="A407" t="str">
            <v>Jay Wheeler</v>
          </cell>
          <cell r="H407">
            <v>8282.2999999999993</v>
          </cell>
        </row>
        <row r="408">
          <cell r="A408" t="str">
            <v>felix jaehn</v>
          </cell>
          <cell r="H408">
            <v>8278.7000000000007</v>
          </cell>
        </row>
        <row r="409">
          <cell r="A409" t="str">
            <v>Niall Horan</v>
          </cell>
          <cell r="H409">
            <v>8263</v>
          </cell>
        </row>
        <row r="410">
          <cell r="A410" t="str">
            <v>6ix9ine</v>
          </cell>
          <cell r="H410">
            <v>8240.2000000000007</v>
          </cell>
        </row>
        <row r="411">
          <cell r="A411" t="str">
            <v>Nate Dogg</v>
          </cell>
          <cell r="H411">
            <v>8235.9</v>
          </cell>
        </row>
        <row r="412">
          <cell r="A412" t="str">
            <v>Noriel</v>
          </cell>
          <cell r="H412">
            <v>8216.5</v>
          </cell>
        </row>
        <row r="413">
          <cell r="A413" t="str">
            <v>Vicente Fernández</v>
          </cell>
          <cell r="H413">
            <v>8205.4</v>
          </cell>
        </row>
        <row r="414">
          <cell r="A414" t="str">
            <v>Three Days Grace</v>
          </cell>
          <cell r="H414">
            <v>8203</v>
          </cell>
        </row>
        <row r="415">
          <cell r="A415" t="str">
            <v>Aerosmith</v>
          </cell>
          <cell r="H415">
            <v>8200.1</v>
          </cell>
        </row>
        <row r="416">
          <cell r="A416" t="str">
            <v>Bee Gees</v>
          </cell>
          <cell r="H416">
            <v>8197.2000000000007</v>
          </cell>
        </row>
        <row r="417">
          <cell r="A417" t="str">
            <v>Udit Narayan</v>
          </cell>
          <cell r="H417">
            <v>8186.9</v>
          </cell>
        </row>
        <row r="418">
          <cell r="A418" t="str">
            <v>Piso 21</v>
          </cell>
          <cell r="H418">
            <v>8164.9</v>
          </cell>
        </row>
        <row r="419">
          <cell r="A419" t="str">
            <v>Rod Wave</v>
          </cell>
          <cell r="H419">
            <v>8148</v>
          </cell>
        </row>
        <row r="420">
          <cell r="A420" t="str">
            <v>Vance Joy</v>
          </cell>
          <cell r="H420">
            <v>8092.2</v>
          </cell>
        </row>
        <row r="421">
          <cell r="A421" t="str">
            <v>Bon Iver</v>
          </cell>
          <cell r="H421">
            <v>8065.4</v>
          </cell>
        </row>
        <row r="422">
          <cell r="A422" t="str">
            <v>Eslabon Armado</v>
          </cell>
          <cell r="H422">
            <v>8063.4</v>
          </cell>
        </row>
        <row r="423">
          <cell r="A423" t="str">
            <v>JENNIE</v>
          </cell>
          <cell r="H423">
            <v>8056.8</v>
          </cell>
        </row>
        <row r="424">
          <cell r="A424" t="str">
            <v>Russ</v>
          </cell>
          <cell r="H424">
            <v>8043.6</v>
          </cell>
        </row>
        <row r="425">
          <cell r="A425" t="str">
            <v>Rae Sremmurd</v>
          </cell>
          <cell r="H425">
            <v>8030.3</v>
          </cell>
        </row>
        <row r="426">
          <cell r="A426" t="str">
            <v>Jess Glynne</v>
          </cell>
          <cell r="H426">
            <v>8019.9</v>
          </cell>
        </row>
        <row r="427">
          <cell r="A427" t="str">
            <v>The Smiths</v>
          </cell>
          <cell r="H427">
            <v>8014.7</v>
          </cell>
        </row>
        <row r="428">
          <cell r="A428" t="str">
            <v>Eagles</v>
          </cell>
          <cell r="H428">
            <v>7987.3</v>
          </cell>
        </row>
        <row r="429">
          <cell r="A429" t="str">
            <v>The Police</v>
          </cell>
          <cell r="H429">
            <v>7976.6</v>
          </cell>
        </row>
        <row r="430">
          <cell r="A430" t="str">
            <v>Phil Collins</v>
          </cell>
          <cell r="H430">
            <v>7940.4</v>
          </cell>
        </row>
        <row r="431">
          <cell r="A431" t="str">
            <v>The Strokes</v>
          </cell>
          <cell r="H431">
            <v>7934.8</v>
          </cell>
        </row>
        <row r="432">
          <cell r="A432" t="str">
            <v>Atif Aslam</v>
          </cell>
          <cell r="H432">
            <v>7934.5</v>
          </cell>
        </row>
        <row r="433">
          <cell r="A433" t="str">
            <v>Ovy On The Drums</v>
          </cell>
          <cell r="H433">
            <v>7921.6</v>
          </cell>
        </row>
        <row r="434">
          <cell r="A434" t="str">
            <v>Olivia Dean</v>
          </cell>
          <cell r="H434">
            <v>7892.9</v>
          </cell>
        </row>
        <row r="435">
          <cell r="A435" t="str">
            <v>Dire Straits</v>
          </cell>
          <cell r="H435">
            <v>7891.3</v>
          </cell>
        </row>
        <row r="436">
          <cell r="A436" t="str">
            <v>NewJeans</v>
          </cell>
          <cell r="H436">
            <v>7886.9</v>
          </cell>
        </row>
        <row r="437">
          <cell r="A437" t="str">
            <v>Avenged Sevenfold</v>
          </cell>
          <cell r="H437">
            <v>7871.9</v>
          </cell>
        </row>
        <row r="438">
          <cell r="A438" t="str">
            <v>Ricardo Arjona</v>
          </cell>
          <cell r="H438">
            <v>7852.2</v>
          </cell>
        </row>
        <row r="439">
          <cell r="A439" t="str">
            <v>Los Ángeles Azules</v>
          </cell>
          <cell r="H439">
            <v>7838.9</v>
          </cell>
        </row>
        <row r="440">
          <cell r="A440" t="str">
            <v>Rex Orange County</v>
          </cell>
          <cell r="H440">
            <v>7824.1</v>
          </cell>
        </row>
        <row r="441">
          <cell r="A441" t="str">
            <v>ScHoolboy Q</v>
          </cell>
          <cell r="H441">
            <v>7817.3</v>
          </cell>
        </row>
        <row r="442">
          <cell r="A442" t="str">
            <v>6LACK</v>
          </cell>
          <cell r="H442">
            <v>7810.5</v>
          </cell>
        </row>
        <row r="443">
          <cell r="A443" t="str">
            <v>Disclosure</v>
          </cell>
          <cell r="H443">
            <v>7787.8</v>
          </cell>
        </row>
        <row r="444">
          <cell r="A444" t="str">
            <v>Brytiago</v>
          </cell>
          <cell r="H444">
            <v>7785.3</v>
          </cell>
        </row>
        <row r="445">
          <cell r="A445" t="str">
            <v>Alesso</v>
          </cell>
          <cell r="H445">
            <v>7765.7</v>
          </cell>
        </row>
        <row r="446">
          <cell r="A446" t="str">
            <v>RAF Camora</v>
          </cell>
          <cell r="H446">
            <v>7738.2</v>
          </cell>
        </row>
        <row r="447">
          <cell r="A447" t="str">
            <v>Nelly</v>
          </cell>
          <cell r="H447">
            <v>7729.6</v>
          </cell>
        </row>
        <row r="448">
          <cell r="A448" t="str">
            <v>Mumford &amp; Sons</v>
          </cell>
          <cell r="H448">
            <v>7713.9</v>
          </cell>
        </row>
        <row r="449">
          <cell r="A449" t="str">
            <v>Kumaar</v>
          </cell>
          <cell r="H449">
            <v>7689.5</v>
          </cell>
        </row>
        <row r="450">
          <cell r="A450" t="str">
            <v>Pearl Jam</v>
          </cell>
          <cell r="H450">
            <v>7673.1</v>
          </cell>
        </row>
        <row r="451">
          <cell r="A451" t="str">
            <v>Zion</v>
          </cell>
          <cell r="H451">
            <v>7661.6</v>
          </cell>
        </row>
        <row r="452">
          <cell r="A452" t="str">
            <v>Ryan Castro</v>
          </cell>
          <cell r="H452">
            <v>7645.2</v>
          </cell>
        </row>
        <row r="453">
          <cell r="A453" t="str">
            <v>Nelly Furtado</v>
          </cell>
          <cell r="H453">
            <v>7628.1</v>
          </cell>
        </row>
        <row r="454">
          <cell r="A454" t="str">
            <v>Wesley Safadão</v>
          </cell>
          <cell r="H454">
            <v>7618.8</v>
          </cell>
        </row>
        <row r="455">
          <cell r="A455" t="str">
            <v>Disturbed</v>
          </cell>
          <cell r="H455">
            <v>7612.3</v>
          </cell>
        </row>
        <row r="456">
          <cell r="A456" t="str">
            <v>H.E.R.</v>
          </cell>
          <cell r="H456">
            <v>7608.2</v>
          </cell>
        </row>
        <row r="457">
          <cell r="A457" t="str">
            <v>Rita Ora</v>
          </cell>
          <cell r="H457">
            <v>7596.7</v>
          </cell>
        </row>
        <row r="458">
          <cell r="A458" t="str">
            <v>Kevin Gates</v>
          </cell>
          <cell r="H458">
            <v>7589.1</v>
          </cell>
        </row>
        <row r="459">
          <cell r="A459" t="str">
            <v>beabadoobee</v>
          </cell>
          <cell r="H459">
            <v>7552.8</v>
          </cell>
        </row>
        <row r="460">
          <cell r="A460" t="str">
            <v>Karan Aujla</v>
          </cell>
          <cell r="H460">
            <v>7550.3</v>
          </cell>
        </row>
        <row r="461">
          <cell r="A461" t="str">
            <v>Céline Dion</v>
          </cell>
          <cell r="H461">
            <v>7543.1</v>
          </cell>
        </row>
        <row r="462">
          <cell r="A462" t="str">
            <v>Bryan Adams</v>
          </cell>
          <cell r="H462">
            <v>7503.2</v>
          </cell>
        </row>
        <row r="463">
          <cell r="A463" t="str">
            <v>ENHYPEN</v>
          </cell>
          <cell r="H463">
            <v>7486.2</v>
          </cell>
        </row>
        <row r="464">
          <cell r="A464" t="str">
            <v>Dominic Fike</v>
          </cell>
          <cell r="H464">
            <v>7485.1</v>
          </cell>
        </row>
        <row r="465">
          <cell r="A465" t="str">
            <v>Ana Castela</v>
          </cell>
          <cell r="H465">
            <v>7467.3</v>
          </cell>
        </row>
        <row r="466">
          <cell r="A466" t="str">
            <v>LANY</v>
          </cell>
          <cell r="H466">
            <v>7453.2</v>
          </cell>
        </row>
        <row r="467">
          <cell r="A467" t="str">
            <v>Johnny Cash</v>
          </cell>
          <cell r="H467">
            <v>7450.6</v>
          </cell>
        </row>
        <row r="468">
          <cell r="A468" t="str">
            <v>B.o.B</v>
          </cell>
          <cell r="H468">
            <v>7431.9</v>
          </cell>
        </row>
        <row r="469">
          <cell r="A469" t="str">
            <v>Jason Aldean</v>
          </cell>
          <cell r="H469">
            <v>7423.5</v>
          </cell>
        </row>
        <row r="470">
          <cell r="A470" t="str">
            <v>Luan Santana</v>
          </cell>
          <cell r="H470">
            <v>7416.8</v>
          </cell>
        </row>
        <row r="471">
          <cell r="A471" t="str">
            <v>KHEA</v>
          </cell>
          <cell r="H471">
            <v>7405.6</v>
          </cell>
        </row>
        <row r="472">
          <cell r="A472" t="str">
            <v>Maiara &amp; Maraisa</v>
          </cell>
          <cell r="H472">
            <v>7388.4</v>
          </cell>
        </row>
        <row r="473">
          <cell r="A473" t="str">
            <v>Mc IG</v>
          </cell>
          <cell r="H473">
            <v>7387.8</v>
          </cell>
        </row>
        <row r="474">
          <cell r="A474" t="str">
            <v>Tiago PZK</v>
          </cell>
          <cell r="H474">
            <v>7377.9</v>
          </cell>
        </row>
        <row r="475">
          <cell r="A475" t="str">
            <v>Tom Odell</v>
          </cell>
          <cell r="H475">
            <v>7352.6</v>
          </cell>
        </row>
        <row r="476">
          <cell r="A476" t="str">
            <v>Macklemore &amp; Ryan Lewis</v>
          </cell>
          <cell r="H476">
            <v>7347.9</v>
          </cell>
        </row>
        <row r="477">
          <cell r="A477" t="str">
            <v>Thomas Rhett</v>
          </cell>
          <cell r="H477">
            <v>7337.5</v>
          </cell>
        </row>
        <row r="478">
          <cell r="A478" t="str">
            <v>MØ</v>
          </cell>
          <cell r="H478">
            <v>7335.2</v>
          </cell>
        </row>
        <row r="479">
          <cell r="A479" t="str">
            <v>Five Finger Death Punch</v>
          </cell>
          <cell r="H479">
            <v>7326.6</v>
          </cell>
        </row>
        <row r="480">
          <cell r="A480" t="str">
            <v>Kane Brown</v>
          </cell>
          <cell r="H480">
            <v>7313.2</v>
          </cell>
        </row>
        <row r="481">
          <cell r="A481" t="str">
            <v>Laufey</v>
          </cell>
          <cell r="H481">
            <v>7286.8</v>
          </cell>
        </row>
        <row r="482">
          <cell r="A482" t="str">
            <v>Grupo Menos É Mais</v>
          </cell>
          <cell r="H482">
            <v>7277.6</v>
          </cell>
        </row>
        <row r="483">
          <cell r="A483" t="str">
            <v>Nicki Nicole</v>
          </cell>
          <cell r="H483">
            <v>7256.2</v>
          </cell>
        </row>
        <row r="484">
          <cell r="A484" t="str">
            <v>Moneybagg Yo</v>
          </cell>
          <cell r="H484">
            <v>7252.1</v>
          </cell>
        </row>
        <row r="485">
          <cell r="A485" t="str">
            <v>Magenta</v>
          </cell>
          <cell r="H485">
            <v>7239.7</v>
          </cell>
        </row>
        <row r="486">
          <cell r="A486" t="str">
            <v>Ryan Lewis</v>
          </cell>
          <cell r="H486">
            <v>7237.6</v>
          </cell>
        </row>
        <row r="487">
          <cell r="A487" t="str">
            <v>Morad</v>
          </cell>
          <cell r="H487">
            <v>7209.6</v>
          </cell>
        </row>
        <row r="488">
          <cell r="A488" t="str">
            <v>Calum Scott</v>
          </cell>
          <cell r="H488">
            <v>7192.6</v>
          </cell>
        </row>
        <row r="489">
          <cell r="A489" t="str">
            <v>TOMORROW X TOGETHER</v>
          </cell>
          <cell r="H489">
            <v>7182.1</v>
          </cell>
        </row>
        <row r="490">
          <cell r="A490" t="str">
            <v>Grupo Marca Registrada</v>
          </cell>
          <cell r="H490">
            <v>7123.4</v>
          </cell>
        </row>
        <row r="491">
          <cell r="A491" t="str">
            <v>benny blanco</v>
          </cell>
          <cell r="H491">
            <v>7114.1</v>
          </cell>
        </row>
        <row r="492">
          <cell r="A492" t="str">
            <v>JID</v>
          </cell>
          <cell r="H492">
            <v>7073.7</v>
          </cell>
        </row>
        <row r="493">
          <cell r="A493" t="str">
            <v>YNW Melly</v>
          </cell>
          <cell r="H493">
            <v>7061.3</v>
          </cell>
        </row>
        <row r="494">
          <cell r="A494" t="str">
            <v>Juan Gabriel</v>
          </cell>
          <cell r="H494">
            <v>7059.2</v>
          </cell>
        </row>
        <row r="495">
          <cell r="A495" t="str">
            <v>Los Temerarios</v>
          </cell>
          <cell r="H495">
            <v>7059.2</v>
          </cell>
        </row>
        <row r="496">
          <cell r="A496" t="str">
            <v>Jason Mraz</v>
          </cell>
          <cell r="H496">
            <v>7048.5</v>
          </cell>
        </row>
        <row r="497">
          <cell r="A497" t="str">
            <v>The Cure</v>
          </cell>
          <cell r="H497">
            <v>7034.1</v>
          </cell>
        </row>
        <row r="498">
          <cell r="A498" t="str">
            <v>The Marías</v>
          </cell>
          <cell r="H498">
            <v>7029.1</v>
          </cell>
        </row>
        <row r="499">
          <cell r="A499" t="str">
            <v>Limp Bizkit</v>
          </cell>
          <cell r="H499">
            <v>7018.9</v>
          </cell>
        </row>
        <row r="500">
          <cell r="A500" t="str">
            <v>Korn</v>
          </cell>
          <cell r="H500">
            <v>6976.4</v>
          </cell>
        </row>
        <row r="501">
          <cell r="A501" t="str">
            <v>Omar Courtz</v>
          </cell>
          <cell r="H501">
            <v>6972</v>
          </cell>
        </row>
      </sheetData>
      <sheetData sheetId="2">
        <row r="1">
          <cell r="C1" t="str">
            <v>Total Streams (sum, millions)</v>
          </cell>
        </row>
        <row r="2">
          <cell r="A2" t="str">
            <v>Hip-Hop</v>
          </cell>
          <cell r="C2">
            <v>2126055.100000001</v>
          </cell>
        </row>
        <row r="3">
          <cell r="A3" t="str">
            <v>Pop</v>
          </cell>
          <cell r="C3">
            <v>2003601.8</v>
          </cell>
        </row>
        <row r="4">
          <cell r="A4" t="str">
            <v>Reggaeton</v>
          </cell>
          <cell r="C4">
            <v>888855.09999999974</v>
          </cell>
        </row>
        <row r="5">
          <cell r="A5" t="str">
            <v>Rock</v>
          </cell>
          <cell r="C5">
            <v>812082.6</v>
          </cell>
        </row>
        <row r="6">
          <cell r="A6" t="str">
            <v>R&amp;B</v>
          </cell>
          <cell r="C6">
            <v>570698.4</v>
          </cell>
        </row>
        <row r="7">
          <cell r="A7" t="str">
            <v>Latin</v>
          </cell>
          <cell r="C7">
            <v>377962</v>
          </cell>
        </row>
        <row r="8">
          <cell r="A8" t="str">
            <v>EDM</v>
          </cell>
          <cell r="C8">
            <v>367096.9</v>
          </cell>
        </row>
        <row r="9">
          <cell r="A9" t="str">
            <v>Regional Mexican</v>
          </cell>
          <cell r="C9">
            <v>256013.49999999997</v>
          </cell>
        </row>
        <row r="10">
          <cell r="A10" t="str">
            <v>K-Pop</v>
          </cell>
          <cell r="C10">
            <v>157338.70000000001</v>
          </cell>
        </row>
        <row r="11">
          <cell r="A11" t="str">
            <v>Filmi</v>
          </cell>
          <cell r="C11">
            <v>151357.9</v>
          </cell>
        </row>
      </sheetData>
      <sheetData sheetId="3">
        <row r="1">
          <cell r="B1" t="str">
            <v>Artist Count</v>
          </cell>
        </row>
        <row r="2">
          <cell r="A2" t="str">
            <v>United States</v>
          </cell>
          <cell r="B2">
            <v>265</v>
          </cell>
        </row>
        <row r="3">
          <cell r="A3" t="str">
            <v>United Kingdom</v>
          </cell>
          <cell r="B3">
            <v>55</v>
          </cell>
        </row>
        <row r="4">
          <cell r="A4" t="str">
            <v>Mexico</v>
          </cell>
          <cell r="B4">
            <v>27</v>
          </cell>
        </row>
        <row r="5">
          <cell r="A5" t="str">
            <v>Canada</v>
          </cell>
          <cell r="B5">
            <v>18</v>
          </cell>
        </row>
        <row r="6">
          <cell r="A6" t="str">
            <v>Colombia</v>
          </cell>
          <cell r="B6">
            <v>16</v>
          </cell>
        </row>
        <row r="7">
          <cell r="A7" t="str">
            <v>Brazil</v>
          </cell>
          <cell r="B7">
            <v>15</v>
          </cell>
        </row>
        <row r="8">
          <cell r="A8" t="str">
            <v>India</v>
          </cell>
          <cell r="B8">
            <v>13</v>
          </cell>
        </row>
        <row r="9">
          <cell r="A9" t="str">
            <v>South Korea</v>
          </cell>
          <cell r="B9">
            <v>11</v>
          </cell>
        </row>
        <row r="10">
          <cell r="A10" t="str">
            <v>Argentina</v>
          </cell>
          <cell r="B10">
            <v>9</v>
          </cell>
        </row>
        <row r="11">
          <cell r="A11" t="str">
            <v>Australia</v>
          </cell>
          <cell r="B11">
            <v>7</v>
          </cell>
        </row>
      </sheetData>
      <sheetData sheetId="4">
        <row r="1">
          <cell r="C1" t="str">
            <v>Avg Total Streams (millions)</v>
          </cell>
        </row>
        <row r="2">
          <cell r="A2" t="str">
            <v>1930s</v>
          </cell>
          <cell r="C2">
            <v>12421.7</v>
          </cell>
        </row>
        <row r="3">
          <cell r="A3" t="str">
            <v>1940s</v>
          </cell>
          <cell r="C3">
            <v>22236.1</v>
          </cell>
        </row>
        <row r="4">
          <cell r="A4" t="str">
            <v>1950s</v>
          </cell>
          <cell r="C4">
            <v>9519.7000000000007</v>
          </cell>
        </row>
        <row r="5">
          <cell r="A5" t="str">
            <v>1960s</v>
          </cell>
          <cell r="C5">
            <v>14209.253846153848</v>
          </cell>
        </row>
        <row r="6">
          <cell r="A6" t="str">
            <v>1970s</v>
          </cell>
          <cell r="C6">
            <v>11471.94375</v>
          </cell>
        </row>
        <row r="7">
          <cell r="A7" t="str">
            <v>1980s</v>
          </cell>
          <cell r="C7">
            <v>10927.465217391305</v>
          </cell>
        </row>
        <row r="8">
          <cell r="A8" t="str">
            <v>1990s</v>
          </cell>
          <cell r="C8">
            <v>16451.290384615386</v>
          </cell>
        </row>
        <row r="9">
          <cell r="A9" t="str">
            <v>2000s</v>
          </cell>
          <cell r="C9">
            <v>18615.406164383559</v>
          </cell>
        </row>
        <row r="10">
          <cell r="A10" t="str">
            <v>2010s</v>
          </cell>
          <cell r="C10">
            <v>17162.868534482761</v>
          </cell>
        </row>
        <row r="11">
          <cell r="A11" t="str">
            <v>2020s</v>
          </cell>
          <cell r="C11">
            <v>12885.921428571428</v>
          </cell>
        </row>
      </sheetData>
      <sheetData sheetId="5">
        <row r="1">
          <cell r="E1" t="str">
            <v>Count</v>
          </cell>
        </row>
        <row r="2">
          <cell r="D2" t="str">
            <v>Male</v>
          </cell>
          <cell r="E2">
            <v>390</v>
          </cell>
        </row>
        <row r="3">
          <cell r="D3" t="str">
            <v>Female</v>
          </cell>
          <cell r="E3">
            <v>88</v>
          </cell>
        </row>
        <row r="4">
          <cell r="D4" t="str">
            <v>Mixed</v>
          </cell>
          <cell r="E4">
            <v>22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4.492126967591" createdVersion="8" refreshedVersion="8" minRefreshableVersion="3" recordCount="500" xr:uid="{11C3D5AA-6756-452E-A966-F8B7278E30F2}">
  <cacheSource type="worksheet">
    <worksheetSource name="Table3"/>
  </cacheSource>
  <cacheFields count="10">
    <cacheField name="Artist Name" numFmtId="0">
      <sharedItems count="500">
        <s v="$uicideboy$"/>
        <s v="2 Chainz"/>
        <s v="21 Savage"/>
        <s v="2Pac"/>
        <s v="5 Seconds of Summer"/>
        <s v="50 Cent"/>
        <s v="6ix9ine"/>
        <s v="6LACK"/>
        <s v="A Boogie Wit da Hoodie"/>
        <s v="A$AP Rocky"/>
        <s v="A.R. Rahman"/>
        <s v="ABBA"/>
        <s v="AC/DC"/>
        <s v="Adele"/>
        <s v="Aerosmith"/>
        <s v="Akon"/>
        <s v="Alan Walker"/>
        <s v="Alejandro Fernández"/>
        <s v="Alejandro Sanz"/>
        <s v="Alessia Cara"/>
        <s v="Alesso"/>
        <s v="Alfredo Olivas"/>
        <s v="Alicia Keys"/>
        <s v="Alka Yagnik"/>
        <s v="Alok"/>
        <s v="Amitabh Bhattacharya"/>
        <s v="Amy Winehouse"/>
        <s v="Ana Castela"/>
        <s v="Anderson .Paak"/>
        <s v="Anirudh Ravichander"/>
        <s v="Anitta"/>
        <s v="Anne-Marie"/>
        <s v="Anuel AA"/>
        <s v="Arcángel"/>
        <s v="Arctic Monkeys"/>
        <s v="Ariana Grande"/>
        <s v="Arijit Singh"/>
        <s v="Atif Aslam"/>
        <s v="Ava Max"/>
        <s v="Avenged Sevenfold"/>
        <s v="Aventura"/>
        <s v="Avicii"/>
        <s v="Avril Lavigne"/>
        <s v="B.o.B"/>
        <s v="Backstreet Boys"/>
        <s v="Bad Bunny"/>
        <s v="Banda MS de Sergio Lizárraga"/>
        <s v="Bastille"/>
        <s v="beabadoobee"/>
        <s v="Bebe Rexha"/>
        <s v="Becky G"/>
        <s v="Bee Gees"/>
        <s v="Beéle"/>
        <s v="benny blanco"/>
        <s v="Benson Boone"/>
        <s v="Beyoncé"/>
        <s v="Bibi Blocksberg"/>
        <s v="Big Sean"/>
        <s v="Billie Eilish"/>
        <s v="Billy Joel"/>
        <s v="Bizarrap"/>
        <s v="Black Eyed Peas"/>
        <s v="blackbear"/>
        <s v="BLACKPINK"/>
        <s v="Blessd"/>
        <s v="blink-182"/>
        <s v="Bob Marley &amp; The Wailers"/>
        <s v="Bon Iver"/>
        <s v="Bon Jovi"/>
        <s v="Bonez MC"/>
        <s v="Brent Faiyaz"/>
        <s v="Bring Me The Horizon"/>
        <s v="Britney Spears"/>
        <s v="Bruce Springsteen"/>
        <s v="Bruno Mars"/>
        <s v="Bryan Adams"/>
        <s v="Bryant Myers"/>
        <s v="Bryson Tiller"/>
        <s v="Brytiago"/>
        <s v="BTS"/>
        <s v="Burna Boy"/>
        <s v="Calibre 50"/>
        <s v="Calum Scott"/>
        <s v="Calvin Harris"/>
        <s v="Camila Cabello"/>
        <s v="Camilo"/>
        <s v="Cardi B"/>
        <s v="Carín León"/>
        <s v="Cartel De Santa"/>
        <s v="Céline Dion"/>
        <s v="Central Cee"/>
        <s v="Chance the Rapper"/>
        <s v="Chappell Roan"/>
        <s v="Charli xcx"/>
        <s v="Charlie Puth"/>
        <s v="Chase Atlantic"/>
        <s v="Chencho Corleone"/>
        <s v="Childish Gambino"/>
        <s v="Chris Brown"/>
        <s v="Chris Stapleton"/>
        <s v="Christian Nodal"/>
        <s v="Christina Aguilera"/>
        <s v="Cigarettes After Sex"/>
        <s v="Clairo"/>
        <s v="Clean Bandit"/>
        <s v="Coldplay"/>
        <s v="Conan Gray"/>
        <s v="Creedence Clearwater Revival"/>
        <s v="Cris MJ"/>
        <s v="DaBaby"/>
        <s v="Daddy Yankee"/>
        <s v="Daft Punk"/>
        <s v="Dalex"/>
        <s v="Daniel Caesar"/>
        <s v="Danny Ocean"/>
        <s v="Darell"/>
        <s v="Dave"/>
        <s v="David Bowie"/>
        <s v="David Guetta"/>
        <s v="De La Ghetto"/>
        <s v="Deftones"/>
        <s v="Demi Lovato"/>
        <s v="Die drei ???"/>
        <s v="Diplo"/>
        <s v="Dire Straits"/>
        <s v="Disclosure"/>
        <s v="Disney"/>
        <s v="Disturbed"/>
        <s v="DJ Khaled"/>
        <s v="DJ Luian"/>
        <s v="DJ Snake"/>
        <s v="Doja Cat"/>
        <s v="Dominic Fike"/>
        <s v="Don Omar"/>
        <s v="Don Toliver"/>
        <s v="Dr. Dre"/>
        <s v="Drake"/>
        <s v="Dua Lipa"/>
        <s v="Duki"/>
        <s v="Eagles"/>
        <s v="Ed Sheeran"/>
        <s v="El Alfa"/>
        <s v="Eladio Carrion"/>
        <s v="Ellie Goulding"/>
        <s v="Elton John"/>
        <s v="Elvis Presley"/>
        <s v="Eminem"/>
        <s v="ENHYPEN"/>
        <s v="Enrique Iglesias"/>
        <s v="Eslabon Armado"/>
        <s v="Fall Out Boy"/>
        <s v="Farruko"/>
        <s v="Feid"/>
        <s v="felix jaehn"/>
        <s v="Fetty Wap"/>
        <s v="Five Finger Death Punch"/>
        <s v="Fleetwood Mac"/>
        <s v="Flo Rida"/>
        <s v="Florence + The Machine"/>
        <s v="Florida Georgia Line"/>
        <s v="Foo Fighters"/>
        <s v="Frank Ocean"/>
        <s v="Frank Sinatra"/>
        <s v="French Montana"/>
        <s v="Fuerza Regida"/>
        <s v="Future"/>
        <s v="Gabito Ballesteros"/>
        <s v="G-Eazy"/>
        <s v="GIMS"/>
        <s v="GIVĒON"/>
        <s v="Glass Animals"/>
        <s v="Gorillaz"/>
        <s v="Gracie Abrams"/>
        <s v="Green Day"/>
        <s v="Grupo Firme"/>
        <s v="Grupo Frontera"/>
        <s v="Grupo Marca Registrada"/>
        <s v="Grupo Menos É Mais"/>
        <s v="Gucci Mane"/>
        <s v="Gunna"/>
        <s v="Guns N' Roses"/>
        <s v="Gusttavo Lima"/>
        <s v="H.E.R."/>
        <s v="Halsey"/>
        <s v="Hans Zimmer"/>
        <s v="Harry Styles"/>
        <s v="Henrique &amp; Juliano"/>
        <s v="Hozier"/>
        <s v="Imagine Dragons"/>
        <s v="Irshad Kamil"/>
        <s v="J Balvin"/>
        <s v="J. Cole"/>
        <s v="Jack Harlow"/>
        <s v="Jack Johnson"/>
        <s v="James Arthur"/>
        <s v="Jason Aldean"/>
        <s v="Jason Derulo"/>
        <s v="Jason Mraz"/>
        <s v="Jay Wheeler"/>
        <s v="JAŸ-Z"/>
        <s v="JENNIE"/>
        <s v="Jennifer Lopez"/>
        <s v="Jeremih"/>
        <s v="Jess Glynne"/>
        <s v="JHAYCO"/>
        <s v="Jhené Aiko"/>
        <s v="JID"/>
        <s v="Jimin"/>
        <s v="Joan Sebastian"/>
        <s v="John Legend"/>
        <s v="John Mayer"/>
        <s v="Johnny Cash"/>
        <s v="Joji"/>
        <s v="Jonas Blue"/>
        <s v="Jonas Brothers"/>
        <s v="Jorge &amp; Mateus"/>
        <s v="Juan Gabriel"/>
        <s v="Juanes"/>
        <s v="Juice WRLD"/>
        <s v="Juicy J"/>
        <s v="Jul"/>
        <s v="Julia Michaels"/>
        <s v="Julión Álvarez y su Norteño Banda"/>
        <s v="Jung Kook"/>
        <s v="Junior H"/>
        <s v="Justin Bieber"/>
        <s v="Justin Quiles"/>
        <s v="Justin Timberlake"/>
        <s v="Kali Uchis"/>
        <s v="Kane Brown"/>
        <s v="Kanye West"/>
        <s v="Karan Aujla"/>
        <s v="KAROL G"/>
        <s v="Katy Perry"/>
        <s v="Kehlani"/>
        <s v="Kelly Clarkson"/>
        <s v="Kendrick Lamar"/>
        <s v="Kesha"/>
        <s v="Kevin Gates"/>
        <s v="Khalid"/>
        <s v="KHEA"/>
        <s v="Kid Cudi"/>
        <s v="Kings of Leon"/>
        <s v="Kodak Black"/>
        <s v="Korn"/>
        <s v="Kumaar"/>
        <s v="Kygo"/>
        <s v="La Arrolladora Banda El Limón De Rene Camacho"/>
        <s v="Labrinth"/>
        <s v="Lady Gaga"/>
        <s v="Lana Del Rey"/>
        <s v="LANY"/>
        <s v="Laufey"/>
        <s v="LAUV"/>
        <s v="League of Legends"/>
        <s v="Led Zeppelin"/>
        <s v="Lenny Tavárez"/>
        <s v="Lewis Capaldi"/>
        <s v="Lil Baby"/>
        <s v="Lil Durk"/>
        <s v="Lil Nas X"/>
        <s v="Lil Peep"/>
        <s v="Lil Tecca"/>
        <s v="Lil Tjay"/>
        <s v="Lil Uzi Vert"/>
        <s v="Lil Wayne"/>
        <s v="Lil Yachty"/>
        <s v="Limp Bizkit"/>
        <s v="Linkin Park"/>
        <s v="Little Mix"/>
        <s v="Logic"/>
        <s v="Lorde"/>
        <s v="Los Ángeles Azules"/>
        <s v="Los Temerarios"/>
        <s v="Lost Frequencies"/>
        <s v="Luan Santana"/>
        <s v="Ludacris"/>
        <s v="Luis Fonsi"/>
        <s v="Luis Miguel"/>
        <s v="Luis R Conriquez"/>
        <s v="Luke Bryan"/>
        <s v="Luke Combs"/>
        <s v="Mac DeMarco"/>
        <s v="Mac Miller"/>
        <s v="Macklemore"/>
        <s v="Macklemore &amp; Ryan Lewis"/>
        <s v="Madonna"/>
        <s v="Magenta"/>
        <s v="Maiara &amp; Maraisa"/>
        <s v="Major Lazer"/>
        <s v="Maluma"/>
        <s v="Mambo Kingz"/>
        <s v="Maná"/>
        <s v="Måneskin"/>
        <s v="Manuel Turizo"/>
        <s v="Marc Anthony"/>
        <s v="Maria Becerra"/>
        <s v="Mariah Carey"/>
        <s v="Marília Mendonça"/>
        <s v="Mark Ronson"/>
        <s v="Maroon 5"/>
        <s v="Marshmello"/>
        <s v="Martin Garrix"/>
        <s v="Matheus &amp; Kauan"/>
        <s v="Mc IG"/>
        <s v="MC Ryan SP"/>
        <s v="Meek Mill"/>
        <s v="Megan Thee Stallion"/>
        <s v="Meghan Trainor"/>
        <s v="Melanie Martinez"/>
        <s v="Metallica"/>
        <s v="Metro Boomin"/>
        <s v="mgk"/>
        <s v="Michael Bublé"/>
        <s v="Michael Jackson"/>
        <s v="Migos"/>
        <s v="Miguel"/>
        <s v="Miley Cyrus"/>
        <s v="Milo j"/>
        <s v="Mitski"/>
        <s v="MØ"/>
        <s v="Moneybagg Yo"/>
        <s v="Mora"/>
        <s v="Morad"/>
        <s v="Morat"/>
        <s v="Morgan Wallen"/>
        <s v="Mumford &amp; Sons"/>
        <s v="Muse"/>
        <s v="My Chemical Romance"/>
        <s v="Myke Towers"/>
        <s v="Natanael Cano"/>
        <s v="Nate Dogg"/>
        <s v="NATTI NATASHA"/>
        <s v="NAV"/>
        <s v="Nelly"/>
        <s v="Nelly Furtado"/>
        <s v="Ñengo Flow"/>
        <s v="Neton Vega"/>
        <s v="NewJeans"/>
        <s v="Ne-Yo"/>
        <s v="NF"/>
        <s v="Niall Horan"/>
        <s v="Nickelback"/>
        <s v="Nicki Minaj"/>
        <s v="Nicki Nicole"/>
        <s v="Nicky Jam"/>
        <s v="Ninho"/>
        <s v="Nirvana"/>
        <s v="NLE Choppa"/>
        <s v="Noah Kahan"/>
        <s v="Noriel"/>
        <s v="Oasis"/>
        <s v="Offset"/>
        <s v="Olivia Dean"/>
        <s v="Olivia Rodrigo"/>
        <s v="Omar Courtz"/>
        <s v="One Direction"/>
        <s v="OneRepublic"/>
        <s v="Oscar Maydon"/>
        <s v="Ovy On The Drums"/>
        <s v="Ozuna"/>
        <s v="P!nk"/>
        <s v="Panic! At The Disco"/>
        <s v="Paramore"/>
        <s v="PARTYNEXTDOOR"/>
        <s v="Paulo Londra"/>
        <s v="Pearl Jam"/>
        <s v="Peso Pluma"/>
        <s v="Pharrell Williams"/>
        <s v="Phil Collins"/>
        <s v="Pink Floyd"/>
        <s v="Piso 21"/>
        <s v="Pitbull"/>
        <s v="Plan B"/>
        <s v="Playboi Carti"/>
        <s v="Polo G"/>
        <s v="Pop Smoke"/>
        <s v="Post Malone"/>
        <s v="Prince Royce"/>
        <s v="Pritam"/>
        <s v="Quavo"/>
        <s v="Queen"/>
        <s v="Quevedo"/>
        <s v="Radiohead"/>
        <s v="Rae Sremmurd"/>
        <s v="RAF Camora"/>
        <s v="Rammstein"/>
        <s v="Rauw Alejandro"/>
        <s v="RAYE"/>
        <s v="Red Hot Chili Peppers"/>
        <s v="Reik"/>
        <s v="Rels B"/>
        <s v="Rex Orange County"/>
        <s v="Ricardo Arjona"/>
        <s v="Rick Ross"/>
        <s v="Rihanna"/>
        <s v="Rita Ora"/>
        <s v="Robin Schulz"/>
        <s v="Rod Wave"/>
        <s v="Roddy Ricch"/>
        <s v="Romeo Santos"/>
        <s v="ROSALÍA"/>
        <s v="Russ"/>
        <s v="Ryan Castro"/>
        <s v="Ryan Lewis"/>
        <s v="Sabrina Carpenter"/>
        <s v="Sachin-Jigar"/>
        <s v="Sam Smith"/>
        <s v="ScHoolboy Q"/>
        <s v="Sean Paul"/>
        <s v="Sebastian Yatra"/>
        <s v="Sech"/>
        <s v="Selena Gomez"/>
        <s v="SEVENTEEN"/>
        <s v="Sfera Ebbasta"/>
        <s v="Shakira"/>
        <s v="Shawn Mendes"/>
        <s v="Shreya Ghoshal"/>
        <s v="Sia"/>
        <s v="Skrillex"/>
        <s v="Slipknot"/>
        <s v="Snoop Dogg"/>
        <s v="Steve Lacy"/>
        <s v="Stevie Wonder"/>
        <s v="Stray Kids"/>
        <s v="Summer Walker"/>
        <s v="Swae Lee"/>
        <s v="System Of A Down"/>
        <s v="SZA"/>
        <s v="T.I."/>
        <s v="Tainy"/>
        <s v="Tame Impala"/>
        <s v="Tanishk Bagchi"/>
        <s v="Tate McRae"/>
        <s v="Taylor Swift"/>
        <s v="Teddy Swims"/>
        <s v="The 1975"/>
        <s v="The Beatles"/>
        <s v="The Chainsmokers"/>
        <s v="The Cure"/>
        <s v="The Kid LAROI"/>
        <s v="The Killers"/>
        <s v="The Lumineers"/>
        <s v="The Marías"/>
        <s v="The Neighbourhood"/>
        <s v="The Notorious B.I.G."/>
        <s v="The Offspring"/>
        <s v="The Police"/>
        <s v="The Rolling Stones"/>
        <s v="The Script"/>
        <s v="The Smiths"/>
        <s v="The Strokes"/>
        <s v="The Weeknd"/>
        <s v="Thomas Rhett"/>
        <s v="Three Days Grace"/>
        <s v="Tiago PZK"/>
        <s v="Tiësto"/>
        <s v="Timbaland"/>
        <s v="TINI"/>
        <s v="Tito Double P"/>
        <s v="Tom Odell"/>
        <s v="TOMORROW X TOGETHER"/>
        <s v="Tory Lanez"/>
        <s v="Tove Lo"/>
        <s v="T-Pain"/>
        <s v="Travis Scott"/>
        <s v="Trippie Redd"/>
        <s v="Troye Sivan"/>
        <s v="TV Girl"/>
        <s v="Twenty One Pilots"/>
        <s v="TWICE"/>
        <s v="Ty Dolla $ign"/>
        <s v="Tyga"/>
        <s v="Tyler, The Creator"/>
        <s v="U2"/>
        <s v="Udit Narayan"/>
        <s v="USHER"/>
        <s v="Vance Joy"/>
        <s v="Vicente Fernández"/>
        <s v="Vishal-Shekhar"/>
        <s v="Wesley Safadão"/>
        <s v="Whitney Houston"/>
        <s v="Wisin"/>
        <s v="Wisin &amp; Yandel"/>
        <s v="Wiz Khalifa"/>
        <s v="Wizkid"/>
        <s v="XXXTENTACION"/>
        <s v="Yandel"/>
        <s v="Yeat"/>
        <s v="YG"/>
        <s v="YNW Melly"/>
        <s v="Young Thug"/>
        <s v="YoungBoy Never Broke Again"/>
        <s v="Zach Bryan"/>
        <s v="Zara Larsson"/>
        <s v="ZAYN"/>
        <s v="Zé Neto &amp; Cristiano"/>
        <s v="Zedd"/>
        <s v="Zion"/>
        <s v="Zion &amp; Lennox"/>
      </sharedItems>
    </cacheField>
    <cacheField name="Sex" numFmtId="0">
      <sharedItems count="3">
        <s v="Male"/>
        <s v="Mixed"/>
        <s v="Female"/>
      </sharedItems>
    </cacheField>
    <cacheField name="Country of Origin" numFmtId="0">
      <sharedItems count="43">
        <s v="United States"/>
        <s v="United Kingdom"/>
        <s v="Australia"/>
        <s v="India"/>
        <s v="Sweden"/>
        <s v="Senegal"/>
        <s v="Norway"/>
        <s v="Mexico"/>
        <s v="Spain"/>
        <s v="Canada"/>
        <s v="Brazil"/>
        <s v="Pakistan"/>
        <s v="Philippines"/>
        <s v="Colombia"/>
        <s v="Germany"/>
        <s v="Argentina"/>
        <s v="South Korea"/>
        <s v="Jamaica"/>
        <s v="Nigeria"/>
        <s v="Scotland"/>
        <s v="Cuba"/>
        <s v="Chile"/>
        <s v="France"/>
        <s v="Venezuela"/>
        <s v="Dominican Republic"/>
        <s v="Morocco"/>
        <s v="DR Congo"/>
        <s v="Ireland"/>
        <s v="Japan"/>
        <s v="Iceland"/>
        <s v="New Zealand"/>
        <s v="Belgium"/>
        <s v="Italy"/>
        <s v="Netherlands"/>
        <s v="Denmark"/>
        <s v="Trinidad and Tobago"/>
        <s v="Austria"/>
        <s v="Guatemala"/>
        <s v="Barbados"/>
        <s v="Panama"/>
        <s v="South Africa"/>
        <s v="Nepal"/>
        <s v="Russia"/>
      </sharedItems>
    </cacheField>
    <cacheField name="Primary Language" numFmtId="0">
      <sharedItems count="11">
        <s v="English"/>
        <s v="Tamil"/>
        <s v="Spanish"/>
        <s v="Hindi"/>
        <s v="Portuguese"/>
        <s v="Urdu"/>
        <s v="German"/>
        <s v="Korean"/>
        <s v="French"/>
        <s v="Punjabi"/>
        <s v="Italian"/>
      </sharedItems>
    </cacheField>
    <cacheField name="Primary Genre" numFmtId="0">
      <sharedItems count="23">
        <s v="Hip-Hop"/>
        <s v="Rock"/>
        <s v="R&amp;B"/>
        <s v="Filmi"/>
        <s v="Pop"/>
        <s v="EDM"/>
        <s v="Latin"/>
        <s v="Regional Mexican"/>
        <s v="Soul"/>
        <s v="Sertanjeo"/>
        <s v="Reggaeton"/>
        <s v="Metal"/>
        <s v="Bachata"/>
        <s v="Alternative"/>
        <s v="Children's Music"/>
        <s v="K-Pop"/>
        <s v="Reggae"/>
        <s v="Folk"/>
        <s v="Afrobeats"/>
        <s v="Country"/>
        <s v="Spoken Word"/>
        <s v="Soundtrack"/>
        <s v="Nu Metal"/>
      </sharedItems>
    </cacheField>
    <cacheField name=" Artist Type" numFmtId="0">
      <sharedItems count="2">
        <s v="Group"/>
        <s v="Solo"/>
      </sharedItems>
    </cacheField>
    <cacheField name="Debut Year" numFmtId="0">
      <sharedItems containsSemiMixedTypes="0" containsString="0" containsNumber="1" containsInteger="1" minValue="1939" maxValue="2023" count="61">
        <n v="2014"/>
        <n v="2007"/>
        <n v="1991"/>
        <n v="2011"/>
        <n v="2003"/>
        <n v="2017"/>
        <n v="2016"/>
        <n v="1992"/>
        <n v="1972"/>
        <n v="1975"/>
        <n v="2008"/>
        <n v="1973"/>
        <n v="2004"/>
        <n v="1989"/>
        <n v="2015"/>
        <n v="2010"/>
        <n v="2001"/>
        <n v="1980"/>
        <n v="2021"/>
        <n v="2012"/>
        <n v="2013"/>
        <n v="2005"/>
        <n v="2002"/>
        <n v="1996"/>
        <n v="2006"/>
        <n v="1963"/>
        <n v="2019"/>
        <n v="1971"/>
        <n v="1998"/>
        <n v="2018"/>
        <n v="1995"/>
        <n v="1962"/>
        <n v="1984"/>
        <n v="1981"/>
        <n v="1999"/>
        <n v="1968"/>
        <n v="1994"/>
        <n v="2009"/>
        <n v="1967"/>
        <n v="1990"/>
        <n v="1979"/>
        <n v="1978"/>
        <n v="1949"/>
        <n v="2000"/>
        <n v="1969"/>
        <n v="1954"/>
        <n v="2020"/>
        <n v="1939"/>
        <n v="2022"/>
        <n v="1985"/>
        <n v="1977"/>
        <n v="1955"/>
        <n v="1988"/>
        <n v="1997"/>
        <n v="1982"/>
        <n v="1987"/>
        <n v="1983"/>
        <n v="1964"/>
        <n v="2023"/>
        <n v="1993"/>
        <n v="1966"/>
      </sharedItems>
    </cacheField>
    <cacheField name="Total Streams (in millions)" numFmtId="0">
      <sharedItems containsSemiMixedTypes="0" containsString="0" containsNumber="1" minValue="6972" maxValue="137492.1" count="499">
        <n v="21202.3"/>
        <n v="13978.6"/>
        <n v="39024.300000000003"/>
        <n v="14116.7"/>
        <n v="12788.3"/>
        <n v="20444.599999999999"/>
        <n v="8240.2000000000007"/>
        <n v="7810.5"/>
        <n v="16877.3"/>
        <n v="24217.200000000001"/>
        <n v="15240.4"/>
        <n v="12992.2"/>
        <n v="17010.5"/>
        <n v="28690.5"/>
        <n v="8200.1"/>
        <n v="17056"/>
        <n v="16893.400000000001"/>
        <n v="8617.1"/>
        <n v="9340.1"/>
        <n v="10179.299999999999"/>
        <n v="7765.7"/>
        <n v="8916"/>
        <n v="12099.6"/>
        <n v="8988.2000000000007"/>
        <n v="10115.700000000001"/>
        <n v="12136.7"/>
        <n v="8780.4"/>
        <n v="7467.3"/>
        <n v="9513.7000000000007"/>
        <n v="14897.8"/>
        <n v="15525.6"/>
        <n v="12593"/>
        <n v="40453.300000000003"/>
        <n v="21937.3"/>
        <n v="28155.4"/>
        <n v="68298.899999999994"/>
        <n v="37687.800000000003"/>
        <n v="7934.5"/>
        <n v="12700.7"/>
        <n v="7871.9"/>
        <n v="10607"/>
        <n v="21003.5"/>
        <n v="8706.4"/>
        <n v="7431.9"/>
        <n v="8485.9"/>
        <n v="125899.8"/>
        <n v="13433.6"/>
        <n v="9439.9"/>
        <n v="7552.8"/>
        <n v="17440.2"/>
        <n v="12985.2"/>
        <n v="8197.2000000000007"/>
        <n v="10974"/>
        <n v="7114.1"/>
        <n v="9949.6"/>
        <n v="34975.199999999997"/>
        <n v="8316.5"/>
        <n v="16428.900000000001"/>
        <n v="58049.5"/>
        <n v="9290.9"/>
        <n v="15638.8"/>
        <n v="15775.7"/>
        <n v="11428.5"/>
        <n v="17517.400000000001"/>
        <n v="8965"/>
        <n v="10760.4"/>
        <n v="14992.7"/>
        <n v="8065.4"/>
        <n v="10771.3"/>
        <n v="8326.7000000000007"/>
        <n v="13490.4"/>
        <n v="10108"/>
        <n v="16148.3"/>
        <n v="8927.6"/>
        <n v="56727.1"/>
        <n v="7503.2"/>
        <n v="12394.6"/>
        <n v="13890.6"/>
        <n v="7785.3"/>
        <n v="53308.9"/>
        <n v="10290.6"/>
        <n v="8433.7999999999993"/>
        <n v="7192.6"/>
        <n v="34129.699999999997"/>
        <n v="21546.2"/>
        <n v="13994.1"/>
        <n v="22494.9"/>
        <n v="16969.400000000001"/>
        <n v="9107.5"/>
        <n v="7543.1"/>
        <n v="10095.5"/>
        <n v="11475.1"/>
        <n v="8382.9"/>
        <n v="14544.4"/>
        <n v="18309.3"/>
        <n v="9513"/>
        <n v="10776.2"/>
        <n v="13281.8"/>
        <n v="43963.8"/>
        <n v="11678.7"/>
        <n v="13503.4"/>
        <n v="11060.5"/>
        <n v="13287"/>
        <n v="8831"/>
        <n v="10711.2"/>
        <n v="46720.4"/>
        <n v="10313.5"/>
        <n v="11314.2"/>
        <n v="11566.2"/>
        <n v="19977.5"/>
        <n v="41405.4"/>
        <n v="17316.599999999999"/>
        <n v="9948.7000000000007"/>
        <n v="15876.2"/>
        <n v="10234.299999999999"/>
        <n v="10772"/>
        <n v="8715.2000000000007"/>
        <n v="10696.6"/>
        <n v="42059.5"/>
        <n v="10352.799999999999"/>
        <n v="8848.2999999999993"/>
        <n v="17119.5"/>
        <n v="24607"/>
        <n v="20670.8"/>
        <n v="7891.3"/>
        <n v="7787.8"/>
        <n v="22236.1"/>
        <n v="7612.3"/>
        <n v="11196"/>
        <n v="8801.6"/>
        <n v="15921.1"/>
        <n v="31214.3"/>
        <n v="7485.1"/>
        <n v="18580.599999999999"/>
        <n v="19830.5"/>
        <n v="13320.3"/>
        <n v="137492.1"/>
        <n v="41944.1"/>
        <n v="15684.7"/>
        <n v="7987.3"/>
        <n v="64656.9"/>
        <n v="9056.5"/>
        <n v="12209.5"/>
        <n v="16553.3"/>
        <n v="19090.400000000001"/>
        <n v="11588.8"/>
        <n v="64549"/>
        <n v="7486.2"/>
        <n v="12857.9"/>
        <n v="8063.4"/>
        <n v="14507.7"/>
        <n v="29775.3"/>
        <n v="34579.1"/>
        <n v="8278.7000000000007"/>
        <n v="8564.5"/>
        <n v="7326.6"/>
        <n v="16577.5"/>
        <n v="16366.1"/>
        <n v="9401"/>
        <n v="9869.2999999999993"/>
        <n v="10571.1"/>
        <n v="24807.4"/>
        <n v="12421.7"/>
        <n v="11640.6"/>
        <n v="27466.799999999999"/>
        <n v="53951.5"/>
        <n v="9076.4"/>
        <n v="15133"/>
        <n v="8439.5"/>
        <n v="9302.9"/>
        <n v="8591.1"/>
        <n v="14104.4"/>
        <n v="9797.7999999999993"/>
        <n v="15453.3"/>
        <n v="12151.3"/>
        <n v="13999.3"/>
        <n v="7123.4"/>
        <n v="7277.6"/>
        <n v="14880.2"/>
        <n v="28195.8"/>
        <n v="13683"/>
        <n v="12324.9"/>
        <n v="7608.2"/>
        <n v="25687.5"/>
        <n v="8906.9"/>
        <n v="29449"/>
        <n v="19231.7"/>
        <n v="16556.5"/>
        <n v="40279.5"/>
        <n v="11014.9"/>
        <n v="54649.2"/>
        <n v="32200.9"/>
        <n v="12751"/>
        <n v="8551.4"/>
        <n v="16111.6"/>
        <n v="7423.5"/>
        <n v="17720.2"/>
        <n v="7048.5"/>
        <n v="8282.2999999999993"/>
        <n v="24440.1"/>
        <n v="8056.8"/>
        <n v="9115.7000000000007"/>
        <n v="9713"/>
        <n v="8019.9"/>
        <n v="17516.099999999999"/>
        <n v="10731.7"/>
        <n v="7073.7"/>
        <n v="8472.9"/>
        <n v="8622.1"/>
        <n v="11821.6"/>
        <n v="13208.3"/>
        <n v="7450.6"/>
        <n v="14512.1"/>
        <n v="9206.7000000000007"/>
        <n v="8909.9"/>
        <n v="14404.4"/>
        <n v="7059.2"/>
        <n v="9121.6"/>
        <n v="46276.4"/>
        <n v="8370.9"/>
        <n v="14127.8"/>
        <n v="8899.6"/>
        <n v="9503.2999999999993"/>
        <n v="11232.6"/>
        <n v="27406.799999999999"/>
        <n v="78104.399999999994"/>
        <n v="15041.1"/>
        <n v="18270.8"/>
        <n v="18005.3"/>
        <n v="7313.2"/>
        <n v="65142.9"/>
        <n v="7550.3"/>
        <n v="37549.699999999997"/>
        <n v="28248"/>
        <n v="10712.8"/>
        <n v="8339.2999999999993"/>
        <n v="56459.5"/>
        <n v="12094.7"/>
        <n v="7589.1"/>
        <n v="35727.199999999997"/>
        <n v="7405.6"/>
        <n v="15086.8"/>
        <n v="8647.7999999999993"/>
        <n v="17738.8"/>
        <n v="6976.4"/>
        <n v="7689.5"/>
        <n v="19707.8"/>
        <n v="10147.9"/>
        <n v="10783.2"/>
        <n v="37565.4"/>
        <n v="42464.1"/>
        <n v="7453.2"/>
        <n v="7286.8"/>
        <n v="11966.9"/>
        <n v="10048.299999999999"/>
        <n v="9909.5"/>
        <n v="13994"/>
        <n v="14087.8"/>
        <n v="35931.9"/>
        <n v="15329.4"/>
        <n v="13039.8"/>
        <n v="18649.5"/>
        <n v="11783.3"/>
        <n v="9314.7999999999993"/>
        <n v="32115.9"/>
        <n v="40148.199999999997"/>
        <n v="12823.8"/>
        <n v="7018.9"/>
        <n v="33224.699999999997"/>
        <n v="10985.7"/>
        <n v="12994.4"/>
        <n v="11721"/>
        <n v="7838.9"/>
        <n v="8699.2000000000007"/>
        <n v="7416.8"/>
        <n v="10293"/>
        <n v="9862.6"/>
        <n v="17314.099999999999"/>
        <n v="12810.9"/>
        <n v="9213.5"/>
        <n v="19101.599999999999"/>
        <n v="9970.2000000000007"/>
        <n v="20091.099999999999"/>
        <n v="12593.2"/>
        <n v="7347.9"/>
        <n v="11879.6"/>
        <n v="7239.7"/>
        <n v="7388.4"/>
        <n v="13220.4"/>
        <n v="34841"/>
        <n v="8457.4"/>
        <n v="9914.4"/>
        <n v="9899.4"/>
        <n v="18912.7"/>
        <n v="9914.5"/>
        <n v="10476.9"/>
        <n v="13650.2"/>
        <n v="15528.2"/>
        <n v="8366.2999999999993"/>
        <n v="35794.1"/>
        <n v="23705.9"/>
        <n v="13468.7"/>
        <n v="10122.5"/>
        <n v="7387.8"/>
        <n v="11715.1"/>
        <n v="10231.200000000001"/>
        <n v="13532"/>
        <n v="11817.1"/>
        <n v="11632.9"/>
        <n v="18627"/>
        <n v="28848.7"/>
        <n v="13398.3"/>
        <n v="12647.5"/>
        <n v="25264.400000000001"/>
        <n v="15562.1"/>
        <n v="13065.7"/>
        <n v="23907.599999999999"/>
        <n v="8309.1"/>
        <n v="10939.4"/>
        <n v="7335.2"/>
        <n v="7252.1"/>
        <n v="13291"/>
        <n v="7209.6"/>
        <n v="14293.7"/>
        <n v="31171.1"/>
        <n v="7713.9"/>
        <n v="9212.4"/>
        <n v="10180.200000000001"/>
        <n v="33620.699999999997"/>
        <n v="20300.7"/>
        <n v="8235.9"/>
        <n v="8960.1"/>
        <n v="8564.4"/>
        <n v="7729.6"/>
        <n v="7628.1"/>
        <n v="12713.2"/>
        <n v="9854"/>
        <n v="7886.9"/>
        <n v="14888.6"/>
        <n v="13891.9"/>
        <n v="8263"/>
        <n v="9933.4"/>
        <n v="43330.3"/>
        <n v="7256.2"/>
        <n v="25875.4"/>
        <n v="11459.5"/>
        <n v="16228.7"/>
        <n v="8453.7000000000007"/>
        <n v="13543.1"/>
        <n v="8216.5"/>
        <n v="11063.6"/>
        <n v="14402.6"/>
        <n v="7892.9"/>
        <n v="28799.7"/>
        <n v="6972"/>
        <n v="28889.5"/>
        <n v="21182.2"/>
        <n v="9609"/>
        <n v="7921.6"/>
        <n v="47649.2"/>
        <n v="16271.6"/>
        <n v="14402.3"/>
        <n v="11480.4"/>
        <n v="14506.3"/>
        <n v="10160.5"/>
        <n v="7673.1"/>
        <n v="33179.800000000003"/>
        <n v="15952.2"/>
        <n v="7940.4"/>
        <n v="13404.2"/>
        <n v="8164.9"/>
        <n v="25875.8"/>
        <n v="10449"/>
        <n v="25818.400000000001"/>
        <n v="15252.2"/>
        <n v="16217.4"/>
        <n v="55028.3"/>
        <n v="9495.2000000000007"/>
        <n v="28543.9"/>
        <n v="19383.5"/>
        <n v="29370"/>
        <n v="14345.2"/>
        <n v="16454.900000000001"/>
        <n v="8030.3"/>
        <n v="7738.2"/>
        <n v="10902.6"/>
        <n v="40738.6"/>
        <n v="9859.6"/>
        <n v="21873.8"/>
        <n v="11853.7"/>
        <n v="13734.1"/>
        <n v="7824.1"/>
        <n v="7852.2"/>
        <n v="11575.2"/>
        <n v="60670.7"/>
        <n v="7596.7"/>
        <n v="12403.3"/>
        <n v="8148"/>
        <n v="13692"/>
        <n v="20549.2"/>
        <n v="14558.4"/>
        <n v="8043.6"/>
        <n v="7645.2"/>
        <n v="7237.6"/>
        <n v="24888.6"/>
        <n v="8584.2000000000007"/>
        <n v="29197.200000000001"/>
        <n v="7817.3"/>
        <n v="18203.3"/>
        <n v="16984.3"/>
        <n v="19528.3"/>
        <n v="26895.1"/>
        <n v="8531.2999999999993"/>
        <n v="9437.2999999999993"/>
        <n v="31212.400000000001"/>
        <n v="29471.1"/>
        <n v="15723"/>
        <n v="31642.1"/>
        <n v="11198.8"/>
        <n v="11051.4"/>
        <n v="20644.8"/>
        <n v="10368.700000000001"/>
        <n v="8371.5"/>
        <n v="14947.4"/>
        <n v="10756.4"/>
        <n v="15746"/>
        <n v="13009.4"/>
        <n v="38879.599999999999"/>
        <n v="9084.9"/>
        <n v="10933.4"/>
        <n v="14387.1"/>
        <n v="8733"/>
        <n v="18707.3"/>
        <n v="127861"/>
        <n v="9177.5"/>
        <n v="10489.6"/>
        <n v="26130.5"/>
        <n v="23845.1"/>
        <n v="7034.1"/>
        <n v="15561.7"/>
        <n v="10767.6"/>
        <n v="9666.1"/>
        <n v="7029.1"/>
        <n v="19440.5"/>
        <n v="10968.8"/>
        <n v="8330.4"/>
        <n v="7976.6"/>
        <n v="12566.2"/>
        <n v="8509.5"/>
        <n v="8014.7"/>
        <n v="7934.8"/>
        <n v="95703.2"/>
        <n v="7337.5"/>
        <n v="8203"/>
        <n v="7377.9"/>
        <n v="18217.099999999999"/>
        <n v="9734"/>
        <n v="8507.9"/>
        <n v="14166.6"/>
        <n v="7352.6"/>
        <n v="7182.1"/>
        <n v="16021.1"/>
        <n v="8809.4"/>
        <n v="11238.2"/>
        <n v="65349.7"/>
        <n v="18889.599999999999"/>
        <n v="10332.799999999999"/>
        <n v="8779.9"/>
        <n v="22475.8"/>
        <n v="12716.2"/>
        <n v="26465.200000000001"/>
        <n v="18064.3"/>
        <n v="27125.8"/>
        <n v="10616.1"/>
        <n v="8186.9"/>
        <n v="18413.2"/>
        <n v="8092.2"/>
        <n v="8205.4"/>
        <n v="10165"/>
        <n v="7618.8"/>
        <n v="8828.7999999999993"/>
        <n v="13273.4"/>
        <n v="13323.2"/>
        <n v="25289.9"/>
        <n v="11149"/>
        <n v="40411.300000000003"/>
        <n v="12929.7"/>
        <n v="10141.700000000001"/>
        <n v="9362.2999999999993"/>
        <n v="7061.3"/>
        <n v="30933.8"/>
        <n v="20138.099999999999"/>
        <n v="19727.2"/>
        <n v="14221.3"/>
        <n v="12650.8"/>
        <n v="10914.2"/>
        <n v="11481.4"/>
        <n v="7661.6"/>
        <n v="12799.8"/>
      </sharedItems>
    </cacheField>
    <cacheField name="Lead Streams (in millions)" numFmtId="0">
      <sharedItems containsSemiMixedTypes="0" containsString="0" containsNumber="1" minValue="0" maxValue="126177.3"/>
    </cacheField>
    <cacheField name="Feature Streams (in millions)" numFmtId="0">
      <sharedItems containsSemiMixedTypes="0" containsString="0" containsNumber="1" minValue="0" maxValue="4371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x v="0"/>
    <n v="20357.3"/>
    <n v="851.6"/>
  </r>
  <r>
    <x v="1"/>
    <x v="0"/>
    <x v="0"/>
    <x v="0"/>
    <x v="0"/>
    <x v="1"/>
    <x v="1"/>
    <x v="1"/>
    <n v="4090.4"/>
    <n v="9888.1"/>
  </r>
  <r>
    <x v="2"/>
    <x v="0"/>
    <x v="1"/>
    <x v="0"/>
    <x v="0"/>
    <x v="1"/>
    <x v="0"/>
    <x v="2"/>
    <n v="15878"/>
    <n v="23155.599999999999"/>
  </r>
  <r>
    <x v="3"/>
    <x v="0"/>
    <x v="0"/>
    <x v="0"/>
    <x v="0"/>
    <x v="1"/>
    <x v="2"/>
    <x v="3"/>
    <n v="13659.9"/>
    <n v="462.4"/>
  </r>
  <r>
    <x v="4"/>
    <x v="0"/>
    <x v="2"/>
    <x v="0"/>
    <x v="1"/>
    <x v="0"/>
    <x v="3"/>
    <x v="4"/>
    <n v="12025.6"/>
    <n v="766.3"/>
  </r>
  <r>
    <x v="5"/>
    <x v="0"/>
    <x v="0"/>
    <x v="0"/>
    <x v="0"/>
    <x v="1"/>
    <x v="4"/>
    <x v="5"/>
    <n v="14112.2"/>
    <n v="6342"/>
  </r>
  <r>
    <x v="6"/>
    <x v="0"/>
    <x v="0"/>
    <x v="0"/>
    <x v="0"/>
    <x v="1"/>
    <x v="5"/>
    <x v="6"/>
    <n v="6845.4"/>
    <n v="1394.8"/>
  </r>
  <r>
    <x v="7"/>
    <x v="0"/>
    <x v="0"/>
    <x v="0"/>
    <x v="2"/>
    <x v="1"/>
    <x v="6"/>
    <x v="7"/>
    <n v="3575.2"/>
    <n v="4235.2"/>
  </r>
  <r>
    <x v="8"/>
    <x v="0"/>
    <x v="0"/>
    <x v="0"/>
    <x v="0"/>
    <x v="1"/>
    <x v="6"/>
    <x v="8"/>
    <n v="11425.9"/>
    <n v="5455.1"/>
  </r>
  <r>
    <x v="9"/>
    <x v="0"/>
    <x v="0"/>
    <x v="0"/>
    <x v="0"/>
    <x v="1"/>
    <x v="3"/>
    <x v="9"/>
    <n v="14721.3"/>
    <n v="9504.2999999999993"/>
  </r>
  <r>
    <x v="10"/>
    <x v="0"/>
    <x v="3"/>
    <x v="1"/>
    <x v="3"/>
    <x v="1"/>
    <x v="7"/>
    <x v="10"/>
    <n v="10857.5"/>
    <n v="4397.5"/>
  </r>
  <r>
    <x v="11"/>
    <x v="1"/>
    <x v="4"/>
    <x v="0"/>
    <x v="4"/>
    <x v="0"/>
    <x v="8"/>
    <x v="11"/>
    <n v="10479.5"/>
    <n v="2516.3000000000002"/>
  </r>
  <r>
    <x v="12"/>
    <x v="0"/>
    <x v="2"/>
    <x v="0"/>
    <x v="1"/>
    <x v="0"/>
    <x v="9"/>
    <x v="12"/>
    <n v="17018"/>
    <n v="0"/>
  </r>
  <r>
    <x v="13"/>
    <x v="2"/>
    <x v="1"/>
    <x v="0"/>
    <x v="4"/>
    <x v="1"/>
    <x v="10"/>
    <x v="13"/>
    <n v="28699.5"/>
    <n v="0"/>
  </r>
  <r>
    <x v="14"/>
    <x v="1"/>
    <x v="0"/>
    <x v="0"/>
    <x v="1"/>
    <x v="0"/>
    <x v="11"/>
    <x v="14"/>
    <n v="7224.1"/>
    <n v="979.3"/>
  </r>
  <r>
    <x v="15"/>
    <x v="0"/>
    <x v="5"/>
    <x v="0"/>
    <x v="2"/>
    <x v="1"/>
    <x v="12"/>
    <x v="15"/>
    <n v="8007.4"/>
    <n v="9059.5"/>
  </r>
  <r>
    <x v="16"/>
    <x v="0"/>
    <x v="6"/>
    <x v="0"/>
    <x v="5"/>
    <x v="1"/>
    <x v="0"/>
    <x v="16"/>
    <n v="13879.3"/>
    <n v="3019.1"/>
  </r>
  <r>
    <x v="17"/>
    <x v="0"/>
    <x v="7"/>
    <x v="2"/>
    <x v="6"/>
    <x v="1"/>
    <x v="7"/>
    <x v="17"/>
    <n v="7717.5"/>
    <n v="899.6"/>
  </r>
  <r>
    <x v="18"/>
    <x v="0"/>
    <x v="8"/>
    <x v="2"/>
    <x v="6"/>
    <x v="1"/>
    <x v="13"/>
    <x v="18"/>
    <n v="6691.7"/>
    <n v="2658.2"/>
  </r>
  <r>
    <x v="19"/>
    <x v="2"/>
    <x v="9"/>
    <x v="0"/>
    <x v="4"/>
    <x v="1"/>
    <x v="14"/>
    <x v="19"/>
    <n v="6431.1"/>
    <n v="3750.4"/>
  </r>
  <r>
    <x v="20"/>
    <x v="0"/>
    <x v="4"/>
    <x v="0"/>
    <x v="5"/>
    <x v="1"/>
    <x v="15"/>
    <x v="20"/>
    <n v="4434.2"/>
    <n v="3331.5"/>
  </r>
  <r>
    <x v="21"/>
    <x v="0"/>
    <x v="7"/>
    <x v="2"/>
    <x v="7"/>
    <x v="1"/>
    <x v="3"/>
    <x v="21"/>
    <n v="8080"/>
    <n v="844.9"/>
  </r>
  <r>
    <x v="22"/>
    <x v="2"/>
    <x v="0"/>
    <x v="0"/>
    <x v="2"/>
    <x v="1"/>
    <x v="16"/>
    <x v="22"/>
    <n v="8350.5"/>
    <n v="3754.7"/>
  </r>
  <r>
    <x v="23"/>
    <x v="2"/>
    <x v="3"/>
    <x v="3"/>
    <x v="3"/>
    <x v="1"/>
    <x v="17"/>
    <x v="23"/>
    <n v="2897.2"/>
    <n v="6102.8"/>
  </r>
  <r>
    <x v="24"/>
    <x v="0"/>
    <x v="10"/>
    <x v="4"/>
    <x v="5"/>
    <x v="1"/>
    <x v="12"/>
    <x v="24"/>
    <n v="9351.5"/>
    <n v="766.2"/>
  </r>
  <r>
    <x v="25"/>
    <x v="0"/>
    <x v="3"/>
    <x v="3"/>
    <x v="3"/>
    <x v="1"/>
    <x v="10"/>
    <x v="25"/>
    <n v="8.4"/>
    <n v="12135.9"/>
  </r>
  <r>
    <x v="26"/>
    <x v="2"/>
    <x v="1"/>
    <x v="0"/>
    <x v="8"/>
    <x v="1"/>
    <x v="4"/>
    <x v="26"/>
    <n v="8238.2000000000007"/>
    <n v="547.70000000000005"/>
  </r>
  <r>
    <x v="27"/>
    <x v="2"/>
    <x v="10"/>
    <x v="4"/>
    <x v="9"/>
    <x v="1"/>
    <x v="18"/>
    <x v="27"/>
    <n v="7464.6"/>
    <n v="26"/>
  </r>
  <r>
    <x v="28"/>
    <x v="0"/>
    <x v="0"/>
    <x v="0"/>
    <x v="2"/>
    <x v="1"/>
    <x v="0"/>
    <x v="28"/>
    <n v="9454.2999999999993"/>
    <n v="63.4"/>
  </r>
  <r>
    <x v="29"/>
    <x v="0"/>
    <x v="3"/>
    <x v="1"/>
    <x v="3"/>
    <x v="1"/>
    <x v="19"/>
    <x v="29"/>
    <n v="12456.5"/>
    <n v="2450"/>
  </r>
  <r>
    <x v="30"/>
    <x v="2"/>
    <x v="10"/>
    <x v="4"/>
    <x v="4"/>
    <x v="1"/>
    <x v="19"/>
    <x v="30"/>
    <n v="11131.7"/>
    <n v="4374.8"/>
  </r>
  <r>
    <x v="31"/>
    <x v="2"/>
    <x v="1"/>
    <x v="0"/>
    <x v="4"/>
    <x v="1"/>
    <x v="20"/>
    <x v="31"/>
    <n v="12542.7"/>
    <n v="29.5"/>
  </r>
  <r>
    <x v="32"/>
    <x v="0"/>
    <x v="0"/>
    <x v="2"/>
    <x v="10"/>
    <x v="1"/>
    <x v="3"/>
    <x v="32"/>
    <n v="18355.599999999999"/>
    <n v="22118.9"/>
  </r>
  <r>
    <x v="33"/>
    <x v="0"/>
    <x v="0"/>
    <x v="2"/>
    <x v="10"/>
    <x v="1"/>
    <x v="12"/>
    <x v="33"/>
    <n v="8927.4"/>
    <n v="13023.3"/>
  </r>
  <r>
    <x v="34"/>
    <x v="0"/>
    <x v="1"/>
    <x v="0"/>
    <x v="1"/>
    <x v="0"/>
    <x v="21"/>
    <x v="34"/>
    <n v="28166.2"/>
    <n v="0"/>
  </r>
  <r>
    <x v="35"/>
    <x v="2"/>
    <x v="0"/>
    <x v="0"/>
    <x v="4"/>
    <x v="1"/>
    <x v="20"/>
    <x v="35"/>
    <n v="57097.5"/>
    <n v="11201.4"/>
  </r>
  <r>
    <x v="36"/>
    <x v="0"/>
    <x v="3"/>
    <x v="3"/>
    <x v="3"/>
    <x v="1"/>
    <x v="3"/>
    <x v="36"/>
    <n v="13330.4"/>
    <n v="24384.799999999999"/>
  </r>
  <r>
    <x v="37"/>
    <x v="0"/>
    <x v="11"/>
    <x v="5"/>
    <x v="4"/>
    <x v="1"/>
    <x v="22"/>
    <x v="37"/>
    <n v="2022.8"/>
    <n v="5906"/>
  </r>
  <r>
    <x v="38"/>
    <x v="2"/>
    <x v="0"/>
    <x v="0"/>
    <x v="4"/>
    <x v="1"/>
    <x v="10"/>
    <x v="38"/>
    <n v="8281.2000000000007"/>
    <n v="4423.1000000000004"/>
  </r>
  <r>
    <x v="39"/>
    <x v="0"/>
    <x v="0"/>
    <x v="0"/>
    <x v="11"/>
    <x v="0"/>
    <x v="16"/>
    <x v="39"/>
    <n v="7152"/>
    <n v="706.6"/>
  </r>
  <r>
    <x v="40"/>
    <x v="0"/>
    <x v="0"/>
    <x v="2"/>
    <x v="12"/>
    <x v="0"/>
    <x v="23"/>
    <x v="40"/>
    <n v="10520.3"/>
    <n v="92.7"/>
  </r>
  <r>
    <x v="41"/>
    <x v="0"/>
    <x v="4"/>
    <x v="0"/>
    <x v="5"/>
    <x v="1"/>
    <x v="24"/>
    <x v="41"/>
    <n v="20142.3"/>
    <n v="867.4"/>
  </r>
  <r>
    <x v="42"/>
    <x v="2"/>
    <x v="9"/>
    <x v="0"/>
    <x v="4"/>
    <x v="1"/>
    <x v="22"/>
    <x v="42"/>
    <n v="8477.2999999999993"/>
    <n v="233"/>
  </r>
  <r>
    <x v="43"/>
    <x v="0"/>
    <x v="0"/>
    <x v="0"/>
    <x v="0"/>
    <x v="1"/>
    <x v="1"/>
    <x v="43"/>
    <n v="6391.9"/>
    <n v="1058.7"/>
  </r>
  <r>
    <x v="44"/>
    <x v="1"/>
    <x v="0"/>
    <x v="0"/>
    <x v="4"/>
    <x v="0"/>
    <x v="23"/>
    <x v="44"/>
    <n v="8144"/>
    <n v="346"/>
  </r>
  <r>
    <x v="45"/>
    <x v="0"/>
    <x v="0"/>
    <x v="2"/>
    <x v="10"/>
    <x v="1"/>
    <x v="20"/>
    <x v="45"/>
    <n v="82189.3"/>
    <n v="43710.5"/>
  </r>
  <r>
    <x v="46"/>
    <x v="0"/>
    <x v="7"/>
    <x v="2"/>
    <x v="7"/>
    <x v="0"/>
    <x v="4"/>
    <x v="46"/>
    <n v="12366.7"/>
    <n v="1072.9000000000001"/>
  </r>
  <r>
    <x v="47"/>
    <x v="0"/>
    <x v="1"/>
    <x v="0"/>
    <x v="13"/>
    <x v="0"/>
    <x v="15"/>
    <x v="47"/>
    <n v="4498.2"/>
    <n v="4948.6000000000004"/>
  </r>
  <r>
    <x v="48"/>
    <x v="2"/>
    <x v="12"/>
    <x v="0"/>
    <x v="1"/>
    <x v="1"/>
    <x v="5"/>
    <x v="48"/>
    <n v="5418.1"/>
    <n v="2144.1"/>
  </r>
  <r>
    <x v="49"/>
    <x v="2"/>
    <x v="0"/>
    <x v="0"/>
    <x v="4"/>
    <x v="1"/>
    <x v="0"/>
    <x v="49"/>
    <n v="5933.3"/>
    <n v="11512.1"/>
  </r>
  <r>
    <x v="50"/>
    <x v="2"/>
    <x v="0"/>
    <x v="2"/>
    <x v="6"/>
    <x v="1"/>
    <x v="20"/>
    <x v="50"/>
    <n v="8772.2000000000007"/>
    <n v="4216.8"/>
  </r>
  <r>
    <x v="51"/>
    <x v="0"/>
    <x v="1"/>
    <x v="0"/>
    <x v="4"/>
    <x v="0"/>
    <x v="25"/>
    <x v="51"/>
    <n v="8080.4"/>
    <n v="120.7"/>
  </r>
  <r>
    <x v="52"/>
    <x v="0"/>
    <x v="13"/>
    <x v="2"/>
    <x v="10"/>
    <x v="1"/>
    <x v="26"/>
    <x v="52"/>
    <n v="9511.5"/>
    <n v="1474.2"/>
  </r>
  <r>
    <x v="53"/>
    <x v="0"/>
    <x v="0"/>
    <x v="0"/>
    <x v="4"/>
    <x v="1"/>
    <x v="1"/>
    <x v="53"/>
    <n v="4400.3"/>
    <n v="2716"/>
  </r>
  <r>
    <x v="54"/>
    <x v="0"/>
    <x v="0"/>
    <x v="0"/>
    <x v="4"/>
    <x v="1"/>
    <x v="18"/>
    <x v="54"/>
    <n v="9956.4"/>
    <n v="0"/>
  </r>
  <r>
    <x v="55"/>
    <x v="2"/>
    <x v="0"/>
    <x v="0"/>
    <x v="4"/>
    <x v="1"/>
    <x v="4"/>
    <x v="55"/>
    <n v="29662.799999999999"/>
    <n v="5325.3"/>
  </r>
  <r>
    <x v="56"/>
    <x v="2"/>
    <x v="14"/>
    <x v="6"/>
    <x v="14"/>
    <x v="1"/>
    <x v="17"/>
    <x v="56"/>
    <n v="8317.7999999999993"/>
    <n v="0"/>
  </r>
  <r>
    <x v="57"/>
    <x v="0"/>
    <x v="0"/>
    <x v="0"/>
    <x v="0"/>
    <x v="1"/>
    <x v="1"/>
    <x v="57"/>
    <n v="12009.4"/>
    <n v="4364.5"/>
  </r>
  <r>
    <x v="58"/>
    <x v="2"/>
    <x v="0"/>
    <x v="0"/>
    <x v="4"/>
    <x v="1"/>
    <x v="14"/>
    <x v="58"/>
    <n v="57160.1"/>
    <n v="889.4"/>
  </r>
  <r>
    <x v="59"/>
    <x v="0"/>
    <x v="0"/>
    <x v="0"/>
    <x v="1"/>
    <x v="1"/>
    <x v="27"/>
    <x v="59"/>
    <n v="9255.2000000000007"/>
    <n v="40.4"/>
  </r>
  <r>
    <x v="60"/>
    <x v="0"/>
    <x v="15"/>
    <x v="2"/>
    <x v="6"/>
    <x v="1"/>
    <x v="5"/>
    <x v="60"/>
    <n v="13216.1"/>
    <n v="2427.1999999999998"/>
  </r>
  <r>
    <x v="61"/>
    <x v="1"/>
    <x v="0"/>
    <x v="0"/>
    <x v="0"/>
    <x v="0"/>
    <x v="28"/>
    <x v="61"/>
    <n v="15257.4"/>
    <n v="527.70000000000005"/>
  </r>
  <r>
    <x v="62"/>
    <x v="0"/>
    <x v="0"/>
    <x v="0"/>
    <x v="2"/>
    <x v="1"/>
    <x v="24"/>
    <x v="62"/>
    <n v="7562.2"/>
    <n v="3868"/>
  </r>
  <r>
    <x v="63"/>
    <x v="2"/>
    <x v="16"/>
    <x v="7"/>
    <x v="15"/>
    <x v="0"/>
    <x v="6"/>
    <x v="63"/>
    <n v="7595.2"/>
    <n v="9927.7999999999993"/>
  </r>
  <r>
    <x v="64"/>
    <x v="0"/>
    <x v="13"/>
    <x v="2"/>
    <x v="10"/>
    <x v="1"/>
    <x v="29"/>
    <x v="64"/>
    <n v="6387.9"/>
    <n v="2587.4"/>
  </r>
  <r>
    <x v="65"/>
    <x v="0"/>
    <x v="0"/>
    <x v="0"/>
    <x v="1"/>
    <x v="0"/>
    <x v="30"/>
    <x v="65"/>
    <n v="10630.4"/>
    <n v="133.80000000000001"/>
  </r>
  <r>
    <x v="66"/>
    <x v="0"/>
    <x v="17"/>
    <x v="0"/>
    <x v="16"/>
    <x v="0"/>
    <x v="31"/>
    <x v="66"/>
    <n v="14837.1"/>
    <n v="161.6"/>
  </r>
  <r>
    <x v="67"/>
    <x v="0"/>
    <x v="0"/>
    <x v="0"/>
    <x v="17"/>
    <x v="1"/>
    <x v="1"/>
    <x v="67"/>
    <n v="7161.8"/>
    <n v="905.7"/>
  </r>
  <r>
    <x v="68"/>
    <x v="0"/>
    <x v="0"/>
    <x v="0"/>
    <x v="1"/>
    <x v="0"/>
    <x v="32"/>
    <x v="68"/>
    <n v="10772.2"/>
    <n v="0.6"/>
  </r>
  <r>
    <x v="69"/>
    <x v="0"/>
    <x v="14"/>
    <x v="6"/>
    <x v="0"/>
    <x v="1"/>
    <x v="24"/>
    <x v="69"/>
    <n v="4696.3999999999996"/>
    <n v="3630.4"/>
  </r>
  <r>
    <x v="70"/>
    <x v="0"/>
    <x v="0"/>
    <x v="0"/>
    <x v="2"/>
    <x v="1"/>
    <x v="20"/>
    <x v="70"/>
    <n v="9955.4"/>
    <n v="3540.8"/>
  </r>
  <r>
    <x v="71"/>
    <x v="0"/>
    <x v="1"/>
    <x v="0"/>
    <x v="1"/>
    <x v="0"/>
    <x v="24"/>
    <x v="71"/>
    <n v="8333.7000000000007"/>
    <n v="1782"/>
  </r>
  <r>
    <x v="72"/>
    <x v="2"/>
    <x v="0"/>
    <x v="0"/>
    <x v="4"/>
    <x v="1"/>
    <x v="28"/>
    <x v="72"/>
    <n v="14108.3"/>
    <n v="2048.1"/>
  </r>
  <r>
    <x v="73"/>
    <x v="0"/>
    <x v="0"/>
    <x v="0"/>
    <x v="1"/>
    <x v="1"/>
    <x v="11"/>
    <x v="73"/>
    <n v="8741.2000000000007"/>
    <n v="189.7"/>
  </r>
  <r>
    <x v="74"/>
    <x v="0"/>
    <x v="0"/>
    <x v="0"/>
    <x v="4"/>
    <x v="1"/>
    <x v="15"/>
    <x v="74"/>
    <n v="40714"/>
    <n v="16013.1"/>
  </r>
  <r>
    <x v="75"/>
    <x v="0"/>
    <x v="9"/>
    <x v="0"/>
    <x v="1"/>
    <x v="1"/>
    <x v="17"/>
    <x v="75"/>
    <n v="5958.2"/>
    <n v="1568.1"/>
  </r>
  <r>
    <x v="76"/>
    <x v="0"/>
    <x v="0"/>
    <x v="2"/>
    <x v="10"/>
    <x v="1"/>
    <x v="14"/>
    <x v="76"/>
    <n v="4419.3999999999996"/>
    <n v="7981.5"/>
  </r>
  <r>
    <x v="77"/>
    <x v="0"/>
    <x v="0"/>
    <x v="0"/>
    <x v="2"/>
    <x v="1"/>
    <x v="3"/>
    <x v="77"/>
    <n v="13739.5"/>
    <n v="155.6"/>
  </r>
  <r>
    <x v="78"/>
    <x v="0"/>
    <x v="0"/>
    <x v="2"/>
    <x v="10"/>
    <x v="1"/>
    <x v="0"/>
    <x v="78"/>
    <n v="2720.2"/>
    <n v="5065.1000000000004"/>
  </r>
  <r>
    <x v="79"/>
    <x v="0"/>
    <x v="16"/>
    <x v="7"/>
    <x v="15"/>
    <x v="0"/>
    <x v="20"/>
    <x v="79"/>
    <n v="47969.9"/>
    <n v="5339"/>
  </r>
  <r>
    <x v="80"/>
    <x v="0"/>
    <x v="18"/>
    <x v="0"/>
    <x v="18"/>
    <x v="1"/>
    <x v="19"/>
    <x v="80"/>
    <n v="2289.1999999999998"/>
    <n v="8003.8"/>
  </r>
  <r>
    <x v="81"/>
    <x v="0"/>
    <x v="7"/>
    <x v="2"/>
    <x v="7"/>
    <x v="0"/>
    <x v="15"/>
    <x v="81"/>
    <n v="7838.5"/>
    <n v="603.29999999999995"/>
  </r>
  <r>
    <x v="82"/>
    <x v="0"/>
    <x v="1"/>
    <x v="0"/>
    <x v="4"/>
    <x v="1"/>
    <x v="6"/>
    <x v="82"/>
    <n v="4689.2"/>
    <n v="2505.3000000000002"/>
  </r>
  <r>
    <x v="83"/>
    <x v="0"/>
    <x v="19"/>
    <x v="0"/>
    <x v="5"/>
    <x v="1"/>
    <x v="1"/>
    <x v="83"/>
    <n v="31846"/>
    <n v="2298.3000000000002"/>
  </r>
  <r>
    <x v="84"/>
    <x v="2"/>
    <x v="20"/>
    <x v="0"/>
    <x v="4"/>
    <x v="1"/>
    <x v="19"/>
    <x v="84"/>
    <n v="12365.6"/>
    <n v="9186"/>
  </r>
  <r>
    <x v="85"/>
    <x v="0"/>
    <x v="13"/>
    <x v="2"/>
    <x v="4"/>
    <x v="1"/>
    <x v="1"/>
    <x v="85"/>
    <n v="8290.1"/>
    <n v="5703.9"/>
  </r>
  <r>
    <x v="86"/>
    <x v="2"/>
    <x v="0"/>
    <x v="0"/>
    <x v="0"/>
    <x v="1"/>
    <x v="14"/>
    <x v="86"/>
    <n v="10833.6"/>
    <n v="11666.6"/>
  </r>
  <r>
    <x v="87"/>
    <x v="0"/>
    <x v="7"/>
    <x v="2"/>
    <x v="7"/>
    <x v="1"/>
    <x v="15"/>
    <x v="87"/>
    <n v="10480.799999999999"/>
    <n v="6497.7"/>
  </r>
  <r>
    <x v="88"/>
    <x v="0"/>
    <x v="7"/>
    <x v="2"/>
    <x v="0"/>
    <x v="0"/>
    <x v="22"/>
    <x v="88"/>
    <n v="8630.9"/>
    <n v="487.3"/>
  </r>
  <r>
    <x v="89"/>
    <x v="2"/>
    <x v="9"/>
    <x v="8"/>
    <x v="4"/>
    <x v="1"/>
    <x v="33"/>
    <x v="89"/>
    <n v="7093.1"/>
    <n v="450"/>
  </r>
  <r>
    <x v="90"/>
    <x v="0"/>
    <x v="1"/>
    <x v="0"/>
    <x v="0"/>
    <x v="1"/>
    <x v="0"/>
    <x v="90"/>
    <n v="6587"/>
    <n v="3508.5"/>
  </r>
  <r>
    <x v="91"/>
    <x v="0"/>
    <x v="0"/>
    <x v="0"/>
    <x v="0"/>
    <x v="1"/>
    <x v="19"/>
    <x v="91"/>
    <n v="3956.3"/>
    <n v="7518.7"/>
  </r>
  <r>
    <x v="92"/>
    <x v="2"/>
    <x v="0"/>
    <x v="0"/>
    <x v="4"/>
    <x v="1"/>
    <x v="5"/>
    <x v="92"/>
    <n v="8387.7999999999993"/>
    <n v="0"/>
  </r>
  <r>
    <x v="93"/>
    <x v="2"/>
    <x v="1"/>
    <x v="0"/>
    <x v="4"/>
    <x v="1"/>
    <x v="10"/>
    <x v="93"/>
    <n v="10175.299999999999"/>
    <n v="4376"/>
  </r>
  <r>
    <x v="94"/>
    <x v="0"/>
    <x v="0"/>
    <x v="0"/>
    <x v="4"/>
    <x v="1"/>
    <x v="14"/>
    <x v="94"/>
    <n v="14642.3"/>
    <n v="3673.3"/>
  </r>
  <r>
    <x v="95"/>
    <x v="0"/>
    <x v="2"/>
    <x v="0"/>
    <x v="2"/>
    <x v="0"/>
    <x v="0"/>
    <x v="95"/>
    <n v="9329.2999999999993"/>
    <n v="185.8"/>
  </r>
  <r>
    <x v="96"/>
    <x v="0"/>
    <x v="0"/>
    <x v="2"/>
    <x v="10"/>
    <x v="1"/>
    <x v="34"/>
    <x v="96"/>
    <n v="10712.5"/>
    <n v="63.9"/>
  </r>
  <r>
    <x v="97"/>
    <x v="0"/>
    <x v="0"/>
    <x v="0"/>
    <x v="0"/>
    <x v="1"/>
    <x v="10"/>
    <x v="97"/>
    <n v="12309.2"/>
    <n v="978.1"/>
  </r>
  <r>
    <x v="98"/>
    <x v="0"/>
    <x v="0"/>
    <x v="0"/>
    <x v="2"/>
    <x v="1"/>
    <x v="21"/>
    <x v="98"/>
    <n v="24455.7"/>
    <n v="19523.900000000001"/>
  </r>
  <r>
    <x v="99"/>
    <x v="0"/>
    <x v="0"/>
    <x v="0"/>
    <x v="19"/>
    <x v="1"/>
    <x v="14"/>
    <x v="99"/>
    <n v="9802.2000000000007"/>
    <n v="1883.1"/>
  </r>
  <r>
    <x v="100"/>
    <x v="0"/>
    <x v="7"/>
    <x v="2"/>
    <x v="7"/>
    <x v="1"/>
    <x v="6"/>
    <x v="100"/>
    <n v="9602.2999999999993"/>
    <n v="3932.5"/>
  </r>
  <r>
    <x v="101"/>
    <x v="2"/>
    <x v="0"/>
    <x v="0"/>
    <x v="4"/>
    <x v="1"/>
    <x v="34"/>
    <x v="101"/>
    <n v="6055.9"/>
    <n v="5004.6000000000004"/>
  </r>
  <r>
    <x v="102"/>
    <x v="1"/>
    <x v="0"/>
    <x v="0"/>
    <x v="13"/>
    <x v="0"/>
    <x v="10"/>
    <x v="102"/>
    <n v="13294.9"/>
    <n v="0"/>
  </r>
  <r>
    <x v="103"/>
    <x v="2"/>
    <x v="0"/>
    <x v="0"/>
    <x v="4"/>
    <x v="1"/>
    <x v="19"/>
    <x v="103"/>
    <n v="6995.1"/>
    <n v="1840.3"/>
  </r>
  <r>
    <x v="104"/>
    <x v="1"/>
    <x v="1"/>
    <x v="0"/>
    <x v="4"/>
    <x v="0"/>
    <x v="19"/>
    <x v="104"/>
    <n v="10381.4"/>
    <n v="333.5"/>
  </r>
  <r>
    <x v="105"/>
    <x v="0"/>
    <x v="1"/>
    <x v="0"/>
    <x v="1"/>
    <x v="0"/>
    <x v="34"/>
    <x v="105"/>
    <n v="42837.1"/>
    <n v="3901.3"/>
  </r>
  <r>
    <x v="106"/>
    <x v="0"/>
    <x v="0"/>
    <x v="0"/>
    <x v="4"/>
    <x v="1"/>
    <x v="5"/>
    <x v="106"/>
    <n v="10145.1"/>
    <n v="172"/>
  </r>
  <r>
    <x v="107"/>
    <x v="0"/>
    <x v="0"/>
    <x v="0"/>
    <x v="1"/>
    <x v="0"/>
    <x v="35"/>
    <x v="107"/>
    <n v="11274.4"/>
    <n v="44.7"/>
  </r>
  <r>
    <x v="108"/>
    <x v="0"/>
    <x v="21"/>
    <x v="2"/>
    <x v="10"/>
    <x v="1"/>
    <x v="26"/>
    <x v="108"/>
    <n v="7224.2"/>
    <n v="4349.3999999999996"/>
  </r>
  <r>
    <x v="109"/>
    <x v="0"/>
    <x v="0"/>
    <x v="0"/>
    <x v="0"/>
    <x v="1"/>
    <x v="14"/>
    <x v="109"/>
    <n v="9365.1"/>
    <n v="10617.1"/>
  </r>
  <r>
    <x v="110"/>
    <x v="0"/>
    <x v="0"/>
    <x v="2"/>
    <x v="10"/>
    <x v="1"/>
    <x v="2"/>
    <x v="110"/>
    <n v="19772.099999999999"/>
    <n v="21650"/>
  </r>
  <r>
    <x v="111"/>
    <x v="0"/>
    <x v="22"/>
    <x v="0"/>
    <x v="5"/>
    <x v="0"/>
    <x v="36"/>
    <x v="111"/>
    <n v="10309.700000000001"/>
    <n v="7013.9"/>
  </r>
  <r>
    <x v="112"/>
    <x v="0"/>
    <x v="0"/>
    <x v="2"/>
    <x v="10"/>
    <x v="1"/>
    <x v="0"/>
    <x v="112"/>
    <n v="4105.3"/>
    <n v="5843.4"/>
  </r>
  <r>
    <x v="113"/>
    <x v="0"/>
    <x v="9"/>
    <x v="0"/>
    <x v="2"/>
    <x v="1"/>
    <x v="0"/>
    <x v="113"/>
    <n v="12905.1"/>
    <n v="2982.4"/>
  </r>
  <r>
    <x v="114"/>
    <x v="0"/>
    <x v="23"/>
    <x v="2"/>
    <x v="6"/>
    <x v="1"/>
    <x v="37"/>
    <x v="114"/>
    <n v="8102.5"/>
    <n v="2138.3000000000002"/>
  </r>
  <r>
    <x v="115"/>
    <x v="0"/>
    <x v="0"/>
    <x v="2"/>
    <x v="10"/>
    <x v="1"/>
    <x v="15"/>
    <x v="115"/>
    <n v="595.6"/>
    <n v="10180.6"/>
  </r>
  <r>
    <x v="116"/>
    <x v="0"/>
    <x v="1"/>
    <x v="0"/>
    <x v="0"/>
    <x v="1"/>
    <x v="14"/>
    <x v="116"/>
    <n v="7648.8"/>
    <n v="1071.5999999999999"/>
  </r>
  <r>
    <x v="117"/>
    <x v="0"/>
    <x v="1"/>
    <x v="0"/>
    <x v="1"/>
    <x v="1"/>
    <x v="38"/>
    <x v="117"/>
    <n v="8379.6"/>
    <n v="2317"/>
  </r>
  <r>
    <x v="118"/>
    <x v="0"/>
    <x v="22"/>
    <x v="0"/>
    <x v="5"/>
    <x v="1"/>
    <x v="39"/>
    <x v="118"/>
    <n v="30750.799999999999"/>
    <n v="11325.3"/>
  </r>
  <r>
    <x v="119"/>
    <x v="0"/>
    <x v="0"/>
    <x v="2"/>
    <x v="10"/>
    <x v="1"/>
    <x v="12"/>
    <x v="119"/>
    <n v="1937.7"/>
    <n v="8415.1"/>
  </r>
  <r>
    <x v="120"/>
    <x v="0"/>
    <x v="0"/>
    <x v="0"/>
    <x v="11"/>
    <x v="0"/>
    <x v="30"/>
    <x v="120"/>
    <n v="8855.1"/>
    <n v="0"/>
  </r>
  <r>
    <x v="121"/>
    <x v="2"/>
    <x v="0"/>
    <x v="0"/>
    <x v="4"/>
    <x v="1"/>
    <x v="10"/>
    <x v="121"/>
    <n v="11625.6"/>
    <n v="5498.6"/>
  </r>
  <r>
    <x v="122"/>
    <x v="0"/>
    <x v="14"/>
    <x v="6"/>
    <x v="20"/>
    <x v="0"/>
    <x v="40"/>
    <x v="122"/>
    <n v="24525.4"/>
    <n v="81.599999999999994"/>
  </r>
  <r>
    <x v="123"/>
    <x v="0"/>
    <x v="0"/>
    <x v="0"/>
    <x v="5"/>
    <x v="1"/>
    <x v="22"/>
    <x v="123"/>
    <n v="5352.4"/>
    <n v="15318.4"/>
  </r>
  <r>
    <x v="124"/>
    <x v="0"/>
    <x v="1"/>
    <x v="0"/>
    <x v="1"/>
    <x v="0"/>
    <x v="41"/>
    <x v="124"/>
    <n v="7595.8"/>
    <n v="298.7"/>
  </r>
  <r>
    <x v="125"/>
    <x v="0"/>
    <x v="1"/>
    <x v="0"/>
    <x v="5"/>
    <x v="0"/>
    <x v="15"/>
    <x v="125"/>
    <n v="5988.8"/>
    <n v="1801.6"/>
  </r>
  <r>
    <x v="126"/>
    <x v="1"/>
    <x v="0"/>
    <x v="0"/>
    <x v="21"/>
    <x v="0"/>
    <x v="42"/>
    <x v="126"/>
    <n v="287.8"/>
    <n v="21966.6"/>
  </r>
  <r>
    <x v="127"/>
    <x v="0"/>
    <x v="0"/>
    <x v="0"/>
    <x v="11"/>
    <x v="0"/>
    <x v="43"/>
    <x v="127"/>
    <n v="7614.9"/>
    <n v="0"/>
  </r>
  <r>
    <x v="128"/>
    <x v="0"/>
    <x v="0"/>
    <x v="0"/>
    <x v="0"/>
    <x v="1"/>
    <x v="24"/>
    <x v="128"/>
    <n v="10287.700000000001"/>
    <n v="910.9"/>
  </r>
  <r>
    <x v="129"/>
    <x v="0"/>
    <x v="0"/>
    <x v="2"/>
    <x v="10"/>
    <x v="1"/>
    <x v="15"/>
    <x v="129"/>
    <n v="1220.5999999999999"/>
    <n v="7581"/>
  </r>
  <r>
    <x v="130"/>
    <x v="0"/>
    <x v="22"/>
    <x v="0"/>
    <x v="5"/>
    <x v="1"/>
    <x v="20"/>
    <x v="130"/>
    <n v="12030.1"/>
    <n v="3896.3"/>
  </r>
  <r>
    <x v="131"/>
    <x v="2"/>
    <x v="0"/>
    <x v="0"/>
    <x v="4"/>
    <x v="1"/>
    <x v="19"/>
    <x v="131"/>
    <n v="25574.2"/>
    <n v="5650.9"/>
  </r>
  <r>
    <x v="132"/>
    <x v="0"/>
    <x v="0"/>
    <x v="0"/>
    <x v="13"/>
    <x v="1"/>
    <x v="5"/>
    <x v="132"/>
    <n v="6757.7"/>
    <n v="735.7"/>
  </r>
  <r>
    <x v="133"/>
    <x v="0"/>
    <x v="0"/>
    <x v="2"/>
    <x v="10"/>
    <x v="1"/>
    <x v="4"/>
    <x v="133"/>
    <n v="14990.8"/>
    <n v="3601.2"/>
  </r>
  <r>
    <x v="134"/>
    <x v="0"/>
    <x v="0"/>
    <x v="0"/>
    <x v="0"/>
    <x v="1"/>
    <x v="5"/>
    <x v="134"/>
    <n v="12351.9"/>
    <n v="7494"/>
  </r>
  <r>
    <x v="135"/>
    <x v="0"/>
    <x v="0"/>
    <x v="0"/>
    <x v="0"/>
    <x v="1"/>
    <x v="32"/>
    <x v="135"/>
    <n v="8568.7000000000007"/>
    <n v="4756.2"/>
  </r>
  <r>
    <x v="136"/>
    <x v="0"/>
    <x v="9"/>
    <x v="0"/>
    <x v="0"/>
    <x v="1"/>
    <x v="24"/>
    <x v="136"/>
    <n v="94851.1"/>
    <n v="42640.9"/>
  </r>
  <r>
    <x v="137"/>
    <x v="2"/>
    <x v="1"/>
    <x v="0"/>
    <x v="4"/>
    <x v="1"/>
    <x v="14"/>
    <x v="137"/>
    <n v="28269.7"/>
    <n v="13687.6"/>
  </r>
  <r>
    <x v="138"/>
    <x v="0"/>
    <x v="15"/>
    <x v="2"/>
    <x v="0"/>
    <x v="1"/>
    <x v="6"/>
    <x v="138"/>
    <n v="7885.7"/>
    <n v="7799"/>
  </r>
  <r>
    <x v="139"/>
    <x v="0"/>
    <x v="0"/>
    <x v="0"/>
    <x v="1"/>
    <x v="0"/>
    <x v="8"/>
    <x v="139"/>
    <n v="7990.9"/>
    <n v="0"/>
  </r>
  <r>
    <x v="140"/>
    <x v="0"/>
    <x v="1"/>
    <x v="0"/>
    <x v="4"/>
    <x v="1"/>
    <x v="3"/>
    <x v="140"/>
    <n v="57704"/>
    <n v="6967.8"/>
  </r>
  <r>
    <x v="141"/>
    <x v="0"/>
    <x v="24"/>
    <x v="2"/>
    <x v="6"/>
    <x v="1"/>
    <x v="10"/>
    <x v="141"/>
    <n v="5112.2"/>
    <n v="3944.3"/>
  </r>
  <r>
    <x v="142"/>
    <x v="0"/>
    <x v="0"/>
    <x v="2"/>
    <x v="0"/>
    <x v="1"/>
    <x v="5"/>
    <x v="142"/>
    <n v="8937.9"/>
    <n v="3281.7"/>
  </r>
  <r>
    <x v="143"/>
    <x v="2"/>
    <x v="1"/>
    <x v="0"/>
    <x v="4"/>
    <x v="1"/>
    <x v="37"/>
    <x v="143"/>
    <n v="11362.1"/>
    <n v="5197.6000000000004"/>
  </r>
  <r>
    <x v="144"/>
    <x v="0"/>
    <x v="1"/>
    <x v="0"/>
    <x v="1"/>
    <x v="1"/>
    <x v="44"/>
    <x v="144"/>
    <n v="17435.400000000001"/>
    <n v="1662.4"/>
  </r>
  <r>
    <x v="145"/>
    <x v="0"/>
    <x v="0"/>
    <x v="0"/>
    <x v="1"/>
    <x v="1"/>
    <x v="45"/>
    <x v="145"/>
    <n v="11545"/>
    <n v="47.3"/>
  </r>
  <r>
    <x v="146"/>
    <x v="0"/>
    <x v="0"/>
    <x v="0"/>
    <x v="0"/>
    <x v="1"/>
    <x v="23"/>
    <x v="146"/>
    <n v="54466.8"/>
    <n v="10100.700000000001"/>
  </r>
  <r>
    <x v="147"/>
    <x v="0"/>
    <x v="16"/>
    <x v="7"/>
    <x v="15"/>
    <x v="0"/>
    <x v="46"/>
    <x v="147"/>
    <n v="7178.8"/>
    <n v="328.1"/>
  </r>
  <r>
    <x v="148"/>
    <x v="0"/>
    <x v="8"/>
    <x v="2"/>
    <x v="6"/>
    <x v="1"/>
    <x v="30"/>
    <x v="148"/>
    <n v="11010.3"/>
    <n v="1853"/>
  </r>
  <r>
    <x v="149"/>
    <x v="0"/>
    <x v="0"/>
    <x v="2"/>
    <x v="7"/>
    <x v="0"/>
    <x v="46"/>
    <x v="149"/>
    <n v="5540.4"/>
    <n v="2525"/>
  </r>
  <r>
    <x v="150"/>
    <x v="0"/>
    <x v="0"/>
    <x v="0"/>
    <x v="1"/>
    <x v="0"/>
    <x v="4"/>
    <x v="150"/>
    <n v="10717.2"/>
    <n v="3796.5"/>
  </r>
  <r>
    <x v="151"/>
    <x v="0"/>
    <x v="0"/>
    <x v="2"/>
    <x v="10"/>
    <x v="1"/>
    <x v="37"/>
    <x v="151"/>
    <n v="8548.7000000000007"/>
    <n v="21237.200000000001"/>
  </r>
  <r>
    <x v="152"/>
    <x v="0"/>
    <x v="13"/>
    <x v="2"/>
    <x v="10"/>
    <x v="1"/>
    <x v="14"/>
    <x v="152"/>
    <n v="18725.599999999999"/>
    <n v="15774.1"/>
  </r>
  <r>
    <x v="153"/>
    <x v="0"/>
    <x v="14"/>
    <x v="0"/>
    <x v="5"/>
    <x v="1"/>
    <x v="20"/>
    <x v="153"/>
    <n v="4898.7"/>
    <n v="3389.6"/>
  </r>
  <r>
    <x v="154"/>
    <x v="0"/>
    <x v="0"/>
    <x v="0"/>
    <x v="0"/>
    <x v="1"/>
    <x v="0"/>
    <x v="154"/>
    <n v="5566.1"/>
    <n v="3001.4"/>
  </r>
  <r>
    <x v="155"/>
    <x v="0"/>
    <x v="0"/>
    <x v="0"/>
    <x v="11"/>
    <x v="0"/>
    <x v="1"/>
    <x v="155"/>
    <n v="1671.1"/>
    <n v="5664.1"/>
  </r>
  <r>
    <x v="156"/>
    <x v="1"/>
    <x v="1"/>
    <x v="0"/>
    <x v="1"/>
    <x v="0"/>
    <x v="38"/>
    <x v="156"/>
    <n v="16577.5"/>
    <n v="0.4"/>
  </r>
  <r>
    <x v="157"/>
    <x v="0"/>
    <x v="0"/>
    <x v="0"/>
    <x v="0"/>
    <x v="1"/>
    <x v="1"/>
    <x v="157"/>
    <n v="14784.2"/>
    <n v="1492.7"/>
  </r>
  <r>
    <x v="158"/>
    <x v="2"/>
    <x v="1"/>
    <x v="0"/>
    <x v="1"/>
    <x v="0"/>
    <x v="37"/>
    <x v="158"/>
    <n v="8691.5"/>
    <n v="712.9"/>
  </r>
  <r>
    <x v="159"/>
    <x v="0"/>
    <x v="0"/>
    <x v="0"/>
    <x v="19"/>
    <x v="0"/>
    <x v="15"/>
    <x v="159"/>
    <n v="6437"/>
    <n v="3432.3"/>
  </r>
  <r>
    <x v="160"/>
    <x v="0"/>
    <x v="0"/>
    <x v="0"/>
    <x v="1"/>
    <x v="0"/>
    <x v="36"/>
    <x v="160"/>
    <n v="10570.2"/>
    <n v="4.5"/>
  </r>
  <r>
    <x v="161"/>
    <x v="0"/>
    <x v="0"/>
    <x v="0"/>
    <x v="2"/>
    <x v="1"/>
    <x v="3"/>
    <x v="161"/>
    <n v="20425.400000000001"/>
    <n v="4391.5"/>
  </r>
  <r>
    <x v="162"/>
    <x v="0"/>
    <x v="0"/>
    <x v="0"/>
    <x v="4"/>
    <x v="1"/>
    <x v="47"/>
    <x v="162"/>
    <n v="11999.7"/>
    <n v="421.9"/>
  </r>
  <r>
    <x v="163"/>
    <x v="0"/>
    <x v="25"/>
    <x v="0"/>
    <x v="0"/>
    <x v="1"/>
    <x v="22"/>
    <x v="163"/>
    <n v="6067.8"/>
    <n v="5576.2"/>
  </r>
  <r>
    <x v="164"/>
    <x v="0"/>
    <x v="0"/>
    <x v="2"/>
    <x v="6"/>
    <x v="0"/>
    <x v="29"/>
    <x v="164"/>
    <n v="19814.7"/>
    <n v="7652.1"/>
  </r>
  <r>
    <x v="165"/>
    <x v="0"/>
    <x v="0"/>
    <x v="0"/>
    <x v="0"/>
    <x v="1"/>
    <x v="15"/>
    <x v="165"/>
    <n v="27879"/>
    <n v="26072.5"/>
  </r>
  <r>
    <x v="166"/>
    <x v="0"/>
    <x v="7"/>
    <x v="2"/>
    <x v="7"/>
    <x v="1"/>
    <x v="14"/>
    <x v="166"/>
    <n v="3472"/>
    <n v="5604.3"/>
  </r>
  <r>
    <x v="167"/>
    <x v="0"/>
    <x v="0"/>
    <x v="0"/>
    <x v="0"/>
    <x v="1"/>
    <x v="24"/>
    <x v="167"/>
    <n v="11606.5"/>
    <n v="3518.6"/>
  </r>
  <r>
    <x v="168"/>
    <x v="0"/>
    <x v="26"/>
    <x v="8"/>
    <x v="0"/>
    <x v="1"/>
    <x v="20"/>
    <x v="168"/>
    <n v="6942.6"/>
    <n v="1509.4"/>
  </r>
  <r>
    <x v="169"/>
    <x v="0"/>
    <x v="0"/>
    <x v="0"/>
    <x v="2"/>
    <x v="1"/>
    <x v="29"/>
    <x v="169"/>
    <n v="5809.3"/>
    <n v="3497.2"/>
  </r>
  <r>
    <x v="170"/>
    <x v="0"/>
    <x v="1"/>
    <x v="0"/>
    <x v="13"/>
    <x v="0"/>
    <x v="19"/>
    <x v="170"/>
    <n v="8578.7000000000007"/>
    <n v="15.4"/>
  </r>
  <r>
    <x v="171"/>
    <x v="0"/>
    <x v="1"/>
    <x v="0"/>
    <x v="13"/>
    <x v="0"/>
    <x v="16"/>
    <x v="171"/>
    <n v="14087.5"/>
    <n v="23.4"/>
  </r>
  <r>
    <x v="172"/>
    <x v="2"/>
    <x v="0"/>
    <x v="0"/>
    <x v="4"/>
    <x v="1"/>
    <x v="26"/>
    <x v="172"/>
    <n v="9279.7000000000007"/>
    <n v="543.29999999999995"/>
  </r>
  <r>
    <x v="173"/>
    <x v="0"/>
    <x v="0"/>
    <x v="0"/>
    <x v="1"/>
    <x v="0"/>
    <x v="39"/>
    <x v="173"/>
    <n v="15342.6"/>
    <n v="118.3"/>
  </r>
  <r>
    <x v="174"/>
    <x v="0"/>
    <x v="7"/>
    <x v="2"/>
    <x v="7"/>
    <x v="0"/>
    <x v="0"/>
    <x v="174"/>
    <n v="8589.7999999999993"/>
    <n v="3569.6"/>
  </r>
  <r>
    <x v="175"/>
    <x v="0"/>
    <x v="0"/>
    <x v="2"/>
    <x v="7"/>
    <x v="0"/>
    <x v="48"/>
    <x v="175"/>
    <n v="8094.6"/>
    <n v="5914.6"/>
  </r>
  <r>
    <x v="176"/>
    <x v="0"/>
    <x v="7"/>
    <x v="2"/>
    <x v="7"/>
    <x v="0"/>
    <x v="14"/>
    <x v="176"/>
    <n v="5595.9"/>
    <n v="1527.5"/>
  </r>
  <r>
    <x v="177"/>
    <x v="0"/>
    <x v="10"/>
    <x v="4"/>
    <x v="6"/>
    <x v="0"/>
    <x v="6"/>
    <x v="177"/>
    <n v="6836.9"/>
    <n v="455.9"/>
  </r>
  <r>
    <x v="178"/>
    <x v="0"/>
    <x v="0"/>
    <x v="0"/>
    <x v="0"/>
    <x v="1"/>
    <x v="21"/>
    <x v="178"/>
    <n v="7106.1"/>
    <n v="7779.1"/>
  </r>
  <r>
    <x v="179"/>
    <x v="0"/>
    <x v="0"/>
    <x v="0"/>
    <x v="0"/>
    <x v="1"/>
    <x v="20"/>
    <x v="179"/>
    <n v="12491.3"/>
    <n v="15715.6"/>
  </r>
  <r>
    <x v="180"/>
    <x v="0"/>
    <x v="0"/>
    <x v="0"/>
    <x v="1"/>
    <x v="0"/>
    <x v="49"/>
    <x v="180"/>
    <n v="13689.3"/>
    <n v="0"/>
  </r>
  <r>
    <x v="181"/>
    <x v="0"/>
    <x v="10"/>
    <x v="4"/>
    <x v="9"/>
    <x v="1"/>
    <x v="37"/>
    <x v="181"/>
    <n v="10393.6"/>
    <n v="1924.7"/>
  </r>
  <r>
    <x v="182"/>
    <x v="2"/>
    <x v="0"/>
    <x v="0"/>
    <x v="2"/>
    <x v="1"/>
    <x v="6"/>
    <x v="182"/>
    <n v="3801.5"/>
    <n v="3806.7"/>
  </r>
  <r>
    <x v="183"/>
    <x v="2"/>
    <x v="0"/>
    <x v="0"/>
    <x v="4"/>
    <x v="1"/>
    <x v="0"/>
    <x v="183"/>
    <n v="13902.2"/>
    <n v="11792.3"/>
  </r>
  <r>
    <x v="184"/>
    <x v="0"/>
    <x v="14"/>
    <x v="6"/>
    <x v="21"/>
    <x v="1"/>
    <x v="50"/>
    <x v="184"/>
    <n v="8155.5"/>
    <n v="751.4"/>
  </r>
  <r>
    <x v="185"/>
    <x v="0"/>
    <x v="1"/>
    <x v="0"/>
    <x v="4"/>
    <x v="1"/>
    <x v="15"/>
    <x v="185"/>
    <n v="29462.799999999999"/>
    <n v="0"/>
  </r>
  <r>
    <x v="186"/>
    <x v="0"/>
    <x v="10"/>
    <x v="4"/>
    <x v="9"/>
    <x v="0"/>
    <x v="10"/>
    <x v="186"/>
    <n v="15881.4"/>
    <n v="3360.5"/>
  </r>
  <r>
    <x v="187"/>
    <x v="0"/>
    <x v="27"/>
    <x v="0"/>
    <x v="1"/>
    <x v="1"/>
    <x v="20"/>
    <x v="187"/>
    <n v="15920.4"/>
    <n v="641.79999999999995"/>
  </r>
  <r>
    <x v="188"/>
    <x v="0"/>
    <x v="0"/>
    <x v="0"/>
    <x v="1"/>
    <x v="0"/>
    <x v="19"/>
    <x v="188"/>
    <n v="38006.699999999997"/>
    <n v="2283.1999999999998"/>
  </r>
  <r>
    <x v="189"/>
    <x v="0"/>
    <x v="3"/>
    <x v="3"/>
    <x v="3"/>
    <x v="1"/>
    <x v="12"/>
    <x v="189"/>
    <n v="5793.9"/>
    <n v="5236.3"/>
  </r>
  <r>
    <x v="190"/>
    <x v="0"/>
    <x v="13"/>
    <x v="2"/>
    <x v="10"/>
    <x v="1"/>
    <x v="12"/>
    <x v="190"/>
    <n v="25333.3"/>
    <n v="29334"/>
  </r>
  <r>
    <x v="191"/>
    <x v="0"/>
    <x v="0"/>
    <x v="0"/>
    <x v="0"/>
    <x v="1"/>
    <x v="1"/>
    <x v="191"/>
    <n v="24334.7"/>
    <n v="7876.1"/>
  </r>
  <r>
    <x v="192"/>
    <x v="0"/>
    <x v="0"/>
    <x v="0"/>
    <x v="0"/>
    <x v="1"/>
    <x v="14"/>
    <x v="192"/>
    <n v="8481.6"/>
    <n v="4272.5"/>
  </r>
  <r>
    <x v="193"/>
    <x v="0"/>
    <x v="0"/>
    <x v="0"/>
    <x v="1"/>
    <x v="1"/>
    <x v="16"/>
    <x v="193"/>
    <n v="8199.2999999999993"/>
    <n v="355"/>
  </r>
  <r>
    <x v="194"/>
    <x v="0"/>
    <x v="1"/>
    <x v="0"/>
    <x v="4"/>
    <x v="1"/>
    <x v="19"/>
    <x v="194"/>
    <n v="14817.7"/>
    <n v="1297.5999999999999"/>
  </r>
  <r>
    <x v="195"/>
    <x v="0"/>
    <x v="0"/>
    <x v="0"/>
    <x v="19"/>
    <x v="1"/>
    <x v="21"/>
    <x v="195"/>
    <n v="7117.2"/>
    <n v="319.89999999999998"/>
  </r>
  <r>
    <x v="196"/>
    <x v="0"/>
    <x v="0"/>
    <x v="0"/>
    <x v="4"/>
    <x v="1"/>
    <x v="37"/>
    <x v="196"/>
    <n v="13610.1"/>
    <n v="4116.2"/>
  </r>
  <r>
    <x v="197"/>
    <x v="0"/>
    <x v="0"/>
    <x v="0"/>
    <x v="4"/>
    <x v="1"/>
    <x v="22"/>
    <x v="197"/>
    <n v="6851.4"/>
    <n v="199.1"/>
  </r>
  <r>
    <x v="198"/>
    <x v="0"/>
    <x v="0"/>
    <x v="2"/>
    <x v="10"/>
    <x v="1"/>
    <x v="26"/>
    <x v="198"/>
    <n v="6707"/>
    <n v="1607.4"/>
  </r>
  <r>
    <x v="199"/>
    <x v="0"/>
    <x v="0"/>
    <x v="0"/>
    <x v="0"/>
    <x v="1"/>
    <x v="23"/>
    <x v="199"/>
    <n v="13311.3"/>
    <n v="11139.9"/>
  </r>
  <r>
    <x v="200"/>
    <x v="2"/>
    <x v="16"/>
    <x v="7"/>
    <x v="15"/>
    <x v="1"/>
    <x v="6"/>
    <x v="200"/>
    <n v="4415.6000000000004"/>
    <n v="3648.3"/>
  </r>
  <r>
    <x v="201"/>
    <x v="2"/>
    <x v="0"/>
    <x v="0"/>
    <x v="4"/>
    <x v="1"/>
    <x v="34"/>
    <x v="201"/>
    <n v="7543"/>
    <n v="1578.6"/>
  </r>
  <r>
    <x v="202"/>
    <x v="0"/>
    <x v="0"/>
    <x v="0"/>
    <x v="2"/>
    <x v="1"/>
    <x v="37"/>
    <x v="202"/>
    <n v="5586.8"/>
    <n v="4126.1000000000004"/>
  </r>
  <r>
    <x v="203"/>
    <x v="2"/>
    <x v="1"/>
    <x v="0"/>
    <x v="4"/>
    <x v="1"/>
    <x v="0"/>
    <x v="203"/>
    <n v="3097.3"/>
    <n v="4922.6000000000004"/>
  </r>
  <r>
    <x v="204"/>
    <x v="0"/>
    <x v="0"/>
    <x v="2"/>
    <x v="10"/>
    <x v="1"/>
    <x v="5"/>
    <x v="204"/>
    <n v="16311.4"/>
    <n v="1210.7"/>
  </r>
  <r>
    <x v="205"/>
    <x v="2"/>
    <x v="0"/>
    <x v="0"/>
    <x v="2"/>
    <x v="1"/>
    <x v="22"/>
    <x v="205"/>
    <n v="6224.9"/>
    <n v="4506.8"/>
  </r>
  <r>
    <x v="206"/>
    <x v="0"/>
    <x v="0"/>
    <x v="0"/>
    <x v="0"/>
    <x v="1"/>
    <x v="15"/>
    <x v="206"/>
    <n v="2882.3"/>
    <n v="4191.3999999999996"/>
  </r>
  <r>
    <x v="207"/>
    <x v="0"/>
    <x v="16"/>
    <x v="7"/>
    <x v="15"/>
    <x v="1"/>
    <x v="20"/>
    <x v="207"/>
    <n v="7819.3"/>
    <n v="656.6"/>
  </r>
  <r>
    <x v="208"/>
    <x v="0"/>
    <x v="7"/>
    <x v="2"/>
    <x v="7"/>
    <x v="1"/>
    <x v="9"/>
    <x v="208"/>
    <n v="8534"/>
    <n v="98.1"/>
  </r>
  <r>
    <x v="209"/>
    <x v="0"/>
    <x v="0"/>
    <x v="0"/>
    <x v="2"/>
    <x v="1"/>
    <x v="12"/>
    <x v="209"/>
    <n v="7454.6"/>
    <n v="4369.1000000000004"/>
  </r>
  <r>
    <x v="210"/>
    <x v="0"/>
    <x v="0"/>
    <x v="0"/>
    <x v="4"/>
    <x v="1"/>
    <x v="34"/>
    <x v="210"/>
    <n v="12134.4"/>
    <n v="1076.8"/>
  </r>
  <r>
    <x v="211"/>
    <x v="0"/>
    <x v="0"/>
    <x v="0"/>
    <x v="19"/>
    <x v="1"/>
    <x v="51"/>
    <x v="211"/>
    <n v="6491.8"/>
    <n v="961.4"/>
  </r>
  <r>
    <x v="212"/>
    <x v="0"/>
    <x v="28"/>
    <x v="0"/>
    <x v="2"/>
    <x v="1"/>
    <x v="5"/>
    <x v="212"/>
    <n v="13579.3"/>
    <n v="938.4"/>
  </r>
  <r>
    <x v="213"/>
    <x v="0"/>
    <x v="1"/>
    <x v="0"/>
    <x v="5"/>
    <x v="1"/>
    <x v="14"/>
    <x v="213"/>
    <n v="7645.1"/>
    <n v="1564.1"/>
  </r>
  <r>
    <x v="214"/>
    <x v="0"/>
    <x v="0"/>
    <x v="0"/>
    <x v="4"/>
    <x v="0"/>
    <x v="24"/>
    <x v="214"/>
    <n v="6844.4"/>
    <n v="2067.6999999999998"/>
  </r>
  <r>
    <x v="215"/>
    <x v="0"/>
    <x v="10"/>
    <x v="4"/>
    <x v="9"/>
    <x v="0"/>
    <x v="1"/>
    <x v="215"/>
    <n v="11024"/>
    <n v="3391.4"/>
  </r>
  <r>
    <x v="216"/>
    <x v="0"/>
    <x v="7"/>
    <x v="2"/>
    <x v="6"/>
    <x v="1"/>
    <x v="27"/>
    <x v="216"/>
    <n v="6505.8"/>
    <n v="557.1"/>
  </r>
  <r>
    <x v="217"/>
    <x v="0"/>
    <x v="13"/>
    <x v="2"/>
    <x v="6"/>
    <x v="1"/>
    <x v="52"/>
    <x v="217"/>
    <n v="4954.8"/>
    <n v="4166.8"/>
  </r>
  <r>
    <x v="218"/>
    <x v="0"/>
    <x v="0"/>
    <x v="0"/>
    <x v="0"/>
    <x v="1"/>
    <x v="14"/>
    <x v="218"/>
    <n v="34132.1"/>
    <n v="12155.1"/>
  </r>
  <r>
    <x v="219"/>
    <x v="0"/>
    <x v="0"/>
    <x v="0"/>
    <x v="0"/>
    <x v="1"/>
    <x v="2"/>
    <x v="219"/>
    <n v="1884.2"/>
    <n v="6486.7"/>
  </r>
  <r>
    <x v="220"/>
    <x v="0"/>
    <x v="22"/>
    <x v="8"/>
    <x v="0"/>
    <x v="1"/>
    <x v="20"/>
    <x v="220"/>
    <n v="11142.3"/>
    <n v="2993.2"/>
  </r>
  <r>
    <x v="221"/>
    <x v="2"/>
    <x v="0"/>
    <x v="0"/>
    <x v="4"/>
    <x v="1"/>
    <x v="15"/>
    <x v="221"/>
    <n v="4219.1000000000004"/>
    <n v="4681.7"/>
  </r>
  <r>
    <x v="222"/>
    <x v="0"/>
    <x v="7"/>
    <x v="2"/>
    <x v="7"/>
    <x v="0"/>
    <x v="1"/>
    <x v="222"/>
    <n v="2467.8000000000002"/>
    <n v="7045.9"/>
  </r>
  <r>
    <x v="223"/>
    <x v="0"/>
    <x v="16"/>
    <x v="7"/>
    <x v="15"/>
    <x v="1"/>
    <x v="20"/>
    <x v="223"/>
    <n v="9653.7999999999993"/>
    <n v="1583.7"/>
  </r>
  <r>
    <x v="224"/>
    <x v="0"/>
    <x v="7"/>
    <x v="2"/>
    <x v="7"/>
    <x v="1"/>
    <x v="26"/>
    <x v="224"/>
    <n v="18341.2"/>
    <n v="9084.4"/>
  </r>
  <r>
    <x v="225"/>
    <x v="0"/>
    <x v="9"/>
    <x v="0"/>
    <x v="4"/>
    <x v="1"/>
    <x v="37"/>
    <x v="225"/>
    <n v="48316.2"/>
    <n v="29788.2"/>
  </r>
  <r>
    <x v="226"/>
    <x v="0"/>
    <x v="0"/>
    <x v="2"/>
    <x v="10"/>
    <x v="1"/>
    <x v="15"/>
    <x v="226"/>
    <n v="4978.8999999999996"/>
    <n v="10062.1"/>
  </r>
  <r>
    <x v="227"/>
    <x v="0"/>
    <x v="0"/>
    <x v="0"/>
    <x v="4"/>
    <x v="1"/>
    <x v="22"/>
    <x v="227"/>
    <n v="13165.8"/>
    <n v="5114.8999999999996"/>
  </r>
  <r>
    <x v="228"/>
    <x v="2"/>
    <x v="13"/>
    <x v="0"/>
    <x v="2"/>
    <x v="1"/>
    <x v="19"/>
    <x v="228"/>
    <n v="10367"/>
    <n v="7646.6"/>
  </r>
  <r>
    <x v="229"/>
    <x v="0"/>
    <x v="0"/>
    <x v="0"/>
    <x v="19"/>
    <x v="1"/>
    <x v="0"/>
    <x v="229"/>
    <n v="7318.3"/>
    <n v="8.3000000000000007"/>
  </r>
  <r>
    <x v="230"/>
    <x v="0"/>
    <x v="0"/>
    <x v="0"/>
    <x v="0"/>
    <x v="1"/>
    <x v="12"/>
    <x v="230"/>
    <n v="46558.400000000001"/>
    <n v="18584.5"/>
  </r>
  <r>
    <x v="231"/>
    <x v="0"/>
    <x v="3"/>
    <x v="9"/>
    <x v="0"/>
    <x v="1"/>
    <x v="0"/>
    <x v="231"/>
    <n v="6212.4"/>
    <n v="1334.7"/>
  </r>
  <r>
    <x v="232"/>
    <x v="2"/>
    <x v="13"/>
    <x v="2"/>
    <x v="10"/>
    <x v="1"/>
    <x v="1"/>
    <x v="232"/>
    <n v="29603.8"/>
    <n v="7961.5"/>
  </r>
  <r>
    <x v="233"/>
    <x v="2"/>
    <x v="0"/>
    <x v="0"/>
    <x v="4"/>
    <x v="1"/>
    <x v="16"/>
    <x v="233"/>
    <n v="25287.5"/>
    <n v="2977.8"/>
  </r>
  <r>
    <x v="234"/>
    <x v="2"/>
    <x v="0"/>
    <x v="0"/>
    <x v="2"/>
    <x v="1"/>
    <x v="0"/>
    <x v="234"/>
    <n v="6060.2"/>
    <n v="4663.3999999999996"/>
  </r>
  <r>
    <x v="235"/>
    <x v="2"/>
    <x v="0"/>
    <x v="0"/>
    <x v="4"/>
    <x v="1"/>
    <x v="22"/>
    <x v="235"/>
    <n v="7864.3"/>
    <n v="477.4"/>
  </r>
  <r>
    <x v="236"/>
    <x v="0"/>
    <x v="0"/>
    <x v="0"/>
    <x v="0"/>
    <x v="1"/>
    <x v="37"/>
    <x v="236"/>
    <n v="40752.199999999997"/>
    <n v="15725"/>
  </r>
  <r>
    <x v="237"/>
    <x v="2"/>
    <x v="0"/>
    <x v="0"/>
    <x v="4"/>
    <x v="1"/>
    <x v="37"/>
    <x v="237"/>
    <n v="7821.4"/>
    <n v="4279.1000000000004"/>
  </r>
  <r>
    <x v="238"/>
    <x v="0"/>
    <x v="0"/>
    <x v="0"/>
    <x v="0"/>
    <x v="1"/>
    <x v="1"/>
    <x v="238"/>
    <n v="6273.4"/>
    <n v="1315.7"/>
  </r>
  <r>
    <x v="239"/>
    <x v="0"/>
    <x v="0"/>
    <x v="0"/>
    <x v="2"/>
    <x v="1"/>
    <x v="6"/>
    <x v="239"/>
    <n v="18499.900000000001"/>
    <n v="17234.400000000001"/>
  </r>
  <r>
    <x v="240"/>
    <x v="0"/>
    <x v="15"/>
    <x v="2"/>
    <x v="0"/>
    <x v="1"/>
    <x v="5"/>
    <x v="240"/>
    <n v="6405.3"/>
    <n v="1014.5"/>
  </r>
  <r>
    <x v="241"/>
    <x v="0"/>
    <x v="0"/>
    <x v="0"/>
    <x v="0"/>
    <x v="1"/>
    <x v="10"/>
    <x v="241"/>
    <n v="10607.6"/>
    <n v="4483.8999999999996"/>
  </r>
  <r>
    <x v="242"/>
    <x v="0"/>
    <x v="0"/>
    <x v="0"/>
    <x v="1"/>
    <x v="0"/>
    <x v="4"/>
    <x v="242"/>
    <n v="8598.1"/>
    <n v="54"/>
  </r>
  <r>
    <x v="243"/>
    <x v="0"/>
    <x v="0"/>
    <x v="0"/>
    <x v="0"/>
    <x v="1"/>
    <x v="37"/>
    <x v="243"/>
    <n v="11748.1"/>
    <n v="5997.1"/>
  </r>
  <r>
    <x v="244"/>
    <x v="0"/>
    <x v="0"/>
    <x v="0"/>
    <x v="11"/>
    <x v="0"/>
    <x v="36"/>
    <x v="244"/>
    <n v="4188.3999999999996"/>
    <n v="2798.5"/>
  </r>
  <r>
    <x v="245"/>
    <x v="0"/>
    <x v="3"/>
    <x v="3"/>
    <x v="4"/>
    <x v="1"/>
    <x v="34"/>
    <x v="245"/>
    <n v="107.1"/>
    <n v="7598.6"/>
  </r>
  <r>
    <x v="246"/>
    <x v="0"/>
    <x v="6"/>
    <x v="0"/>
    <x v="5"/>
    <x v="1"/>
    <x v="20"/>
    <x v="246"/>
    <n v="17829.8"/>
    <n v="1883.3"/>
  </r>
  <r>
    <x v="247"/>
    <x v="0"/>
    <x v="7"/>
    <x v="2"/>
    <x v="7"/>
    <x v="0"/>
    <x v="53"/>
    <x v="247"/>
    <n v="10065.9"/>
    <n v="89.1"/>
  </r>
  <r>
    <x v="248"/>
    <x v="0"/>
    <x v="1"/>
    <x v="0"/>
    <x v="4"/>
    <x v="1"/>
    <x v="15"/>
    <x v="248"/>
    <n v="7412.3"/>
    <n v="3373.2"/>
  </r>
  <r>
    <x v="249"/>
    <x v="2"/>
    <x v="0"/>
    <x v="0"/>
    <x v="4"/>
    <x v="1"/>
    <x v="10"/>
    <x v="249"/>
    <n v="37009.699999999997"/>
    <n v="572"/>
  </r>
  <r>
    <x v="250"/>
    <x v="2"/>
    <x v="0"/>
    <x v="0"/>
    <x v="13"/>
    <x v="1"/>
    <x v="15"/>
    <x v="250"/>
    <n v="38477.300000000003"/>
    <n v="3986.8"/>
  </r>
  <r>
    <x v="251"/>
    <x v="0"/>
    <x v="0"/>
    <x v="0"/>
    <x v="4"/>
    <x v="0"/>
    <x v="0"/>
    <x v="251"/>
    <n v="2524.9"/>
    <n v="4942.3999999999996"/>
  </r>
  <r>
    <x v="252"/>
    <x v="2"/>
    <x v="29"/>
    <x v="0"/>
    <x v="4"/>
    <x v="1"/>
    <x v="46"/>
    <x v="252"/>
    <n v="4703.7"/>
    <n v="2609.5"/>
  </r>
  <r>
    <x v="253"/>
    <x v="0"/>
    <x v="0"/>
    <x v="0"/>
    <x v="4"/>
    <x v="1"/>
    <x v="14"/>
    <x v="253"/>
    <n v="10802.2"/>
    <n v="1167.0999999999999"/>
  </r>
  <r>
    <x v="254"/>
    <x v="1"/>
    <x v="0"/>
    <x v="0"/>
    <x v="21"/>
    <x v="0"/>
    <x v="37"/>
    <x v="254"/>
    <n v="3456.4"/>
    <n v="6591.9"/>
  </r>
  <r>
    <x v="255"/>
    <x v="0"/>
    <x v="1"/>
    <x v="0"/>
    <x v="1"/>
    <x v="0"/>
    <x v="44"/>
    <x v="255"/>
    <n v="9912.7999999999993"/>
    <n v="0"/>
  </r>
  <r>
    <x v="256"/>
    <x v="0"/>
    <x v="0"/>
    <x v="2"/>
    <x v="10"/>
    <x v="1"/>
    <x v="37"/>
    <x v="256"/>
    <n v="944.9"/>
    <n v="13049.1"/>
  </r>
  <r>
    <x v="257"/>
    <x v="0"/>
    <x v="19"/>
    <x v="0"/>
    <x v="4"/>
    <x v="1"/>
    <x v="5"/>
    <x v="257"/>
    <n v="14091.2"/>
    <n v="0"/>
  </r>
  <r>
    <x v="258"/>
    <x v="0"/>
    <x v="0"/>
    <x v="0"/>
    <x v="0"/>
    <x v="1"/>
    <x v="5"/>
    <x v="258"/>
    <n v="18773.5"/>
    <n v="17171.5"/>
  </r>
  <r>
    <x v="259"/>
    <x v="0"/>
    <x v="0"/>
    <x v="0"/>
    <x v="0"/>
    <x v="1"/>
    <x v="3"/>
    <x v="259"/>
    <n v="6848.7"/>
    <n v="8480.7000000000007"/>
  </r>
  <r>
    <x v="260"/>
    <x v="0"/>
    <x v="0"/>
    <x v="0"/>
    <x v="0"/>
    <x v="1"/>
    <x v="29"/>
    <x v="260"/>
    <n v="12982.3"/>
    <n v="59.7"/>
  </r>
  <r>
    <x v="261"/>
    <x v="0"/>
    <x v="0"/>
    <x v="0"/>
    <x v="0"/>
    <x v="1"/>
    <x v="0"/>
    <x v="261"/>
    <n v="17855.2"/>
    <n v="801"/>
  </r>
  <r>
    <x v="262"/>
    <x v="0"/>
    <x v="0"/>
    <x v="0"/>
    <x v="0"/>
    <x v="1"/>
    <x v="5"/>
    <x v="262"/>
    <n v="10687.5"/>
    <n v="1099.4000000000001"/>
  </r>
  <r>
    <x v="263"/>
    <x v="0"/>
    <x v="0"/>
    <x v="0"/>
    <x v="0"/>
    <x v="1"/>
    <x v="5"/>
    <x v="263"/>
    <n v="5409.5"/>
    <n v="3905.3"/>
  </r>
  <r>
    <x v="264"/>
    <x v="0"/>
    <x v="0"/>
    <x v="0"/>
    <x v="0"/>
    <x v="1"/>
    <x v="0"/>
    <x v="264"/>
    <n v="21117.5"/>
    <n v="11006.6"/>
  </r>
  <r>
    <x v="265"/>
    <x v="0"/>
    <x v="0"/>
    <x v="0"/>
    <x v="0"/>
    <x v="1"/>
    <x v="53"/>
    <x v="265"/>
    <n v="15870.4"/>
    <n v="24279.9"/>
  </r>
  <r>
    <x v="266"/>
    <x v="0"/>
    <x v="0"/>
    <x v="0"/>
    <x v="0"/>
    <x v="1"/>
    <x v="14"/>
    <x v="266"/>
    <n v="5535"/>
    <n v="7288.8"/>
  </r>
  <r>
    <x v="267"/>
    <x v="0"/>
    <x v="0"/>
    <x v="0"/>
    <x v="22"/>
    <x v="0"/>
    <x v="53"/>
    <x v="267"/>
    <n v="7018.4"/>
    <n v="5.4"/>
  </r>
  <r>
    <x v="268"/>
    <x v="1"/>
    <x v="0"/>
    <x v="0"/>
    <x v="1"/>
    <x v="0"/>
    <x v="43"/>
    <x v="268"/>
    <n v="31426.6"/>
    <n v="1798.1"/>
  </r>
  <r>
    <x v="269"/>
    <x v="2"/>
    <x v="1"/>
    <x v="0"/>
    <x v="4"/>
    <x v="0"/>
    <x v="3"/>
    <x v="269"/>
    <n v="0"/>
    <n v="11024.9"/>
  </r>
  <r>
    <x v="270"/>
    <x v="0"/>
    <x v="0"/>
    <x v="0"/>
    <x v="0"/>
    <x v="1"/>
    <x v="37"/>
    <x v="270"/>
    <n v="12999.7"/>
    <n v="0"/>
  </r>
  <r>
    <x v="271"/>
    <x v="2"/>
    <x v="30"/>
    <x v="0"/>
    <x v="4"/>
    <x v="1"/>
    <x v="19"/>
    <x v="271"/>
    <n v="11036"/>
    <n v="689"/>
  </r>
  <r>
    <x v="272"/>
    <x v="1"/>
    <x v="7"/>
    <x v="2"/>
    <x v="6"/>
    <x v="0"/>
    <x v="54"/>
    <x v="272"/>
    <n v="7528"/>
    <n v="310.89999999999998"/>
  </r>
  <r>
    <x v="273"/>
    <x v="0"/>
    <x v="7"/>
    <x v="2"/>
    <x v="6"/>
    <x v="0"/>
    <x v="50"/>
    <x v="216"/>
    <n v="6607.2"/>
    <n v="446.9"/>
  </r>
  <r>
    <x v="274"/>
    <x v="0"/>
    <x v="31"/>
    <x v="0"/>
    <x v="5"/>
    <x v="1"/>
    <x v="0"/>
    <x v="273"/>
    <n v="8316.2000000000007"/>
    <n v="386.2"/>
  </r>
  <r>
    <x v="275"/>
    <x v="0"/>
    <x v="10"/>
    <x v="4"/>
    <x v="9"/>
    <x v="1"/>
    <x v="37"/>
    <x v="274"/>
    <n v="4668.1000000000004"/>
    <n v="2767"/>
  </r>
  <r>
    <x v="276"/>
    <x v="0"/>
    <x v="0"/>
    <x v="0"/>
    <x v="0"/>
    <x v="1"/>
    <x v="34"/>
    <x v="275"/>
    <n v="6016.2"/>
    <n v="4284.3"/>
  </r>
  <r>
    <x v="277"/>
    <x v="0"/>
    <x v="0"/>
    <x v="2"/>
    <x v="6"/>
    <x v="1"/>
    <x v="28"/>
    <x v="276"/>
    <n v="4889.8"/>
    <n v="4976.3999999999996"/>
  </r>
  <r>
    <x v="278"/>
    <x v="0"/>
    <x v="7"/>
    <x v="2"/>
    <x v="6"/>
    <x v="1"/>
    <x v="54"/>
    <x v="277"/>
    <n v="17301.5"/>
    <n v="20"/>
  </r>
  <r>
    <x v="279"/>
    <x v="0"/>
    <x v="7"/>
    <x v="2"/>
    <x v="7"/>
    <x v="1"/>
    <x v="29"/>
    <x v="278"/>
    <n v="6582.9"/>
    <n v="6236.2"/>
  </r>
  <r>
    <x v="280"/>
    <x v="0"/>
    <x v="0"/>
    <x v="0"/>
    <x v="19"/>
    <x v="1"/>
    <x v="1"/>
    <x v="279"/>
    <n v="9212.7000000000007"/>
    <n v="8.3000000000000007"/>
  </r>
  <r>
    <x v="281"/>
    <x v="0"/>
    <x v="0"/>
    <x v="0"/>
    <x v="19"/>
    <x v="1"/>
    <x v="0"/>
    <x v="280"/>
    <n v="17465.400000000001"/>
    <n v="1647.2"/>
  </r>
  <r>
    <x v="282"/>
    <x v="0"/>
    <x v="9"/>
    <x v="0"/>
    <x v="1"/>
    <x v="1"/>
    <x v="19"/>
    <x v="281"/>
    <n v="9813.7000000000007"/>
    <n v="161.5"/>
  </r>
  <r>
    <x v="283"/>
    <x v="0"/>
    <x v="0"/>
    <x v="0"/>
    <x v="0"/>
    <x v="1"/>
    <x v="1"/>
    <x v="282"/>
    <n v="18765.5"/>
    <n v="1328"/>
  </r>
  <r>
    <x v="284"/>
    <x v="0"/>
    <x v="0"/>
    <x v="0"/>
    <x v="0"/>
    <x v="1"/>
    <x v="43"/>
    <x v="283"/>
    <n v="6266"/>
    <n v="6330.7"/>
  </r>
  <r>
    <x v="285"/>
    <x v="1"/>
    <x v="0"/>
    <x v="0"/>
    <x v="0"/>
    <x v="0"/>
    <x v="37"/>
    <x v="284"/>
    <n v="6711.8"/>
    <n v="643.70000000000005"/>
  </r>
  <r>
    <x v="286"/>
    <x v="2"/>
    <x v="0"/>
    <x v="0"/>
    <x v="4"/>
    <x v="1"/>
    <x v="54"/>
    <x v="285"/>
    <n v="10122.700000000001"/>
    <n v="1768.2"/>
  </r>
  <r>
    <x v="287"/>
    <x v="2"/>
    <x v="32"/>
    <x v="10"/>
    <x v="4"/>
    <x v="1"/>
    <x v="53"/>
    <x v="286"/>
    <n v="0"/>
    <n v="7239.7"/>
  </r>
  <r>
    <x v="288"/>
    <x v="2"/>
    <x v="10"/>
    <x v="4"/>
    <x v="9"/>
    <x v="0"/>
    <x v="20"/>
    <x v="287"/>
    <n v="3471.7"/>
    <n v="3933.9"/>
  </r>
  <r>
    <x v="289"/>
    <x v="1"/>
    <x v="0"/>
    <x v="0"/>
    <x v="5"/>
    <x v="0"/>
    <x v="37"/>
    <x v="288"/>
    <n v="11619.7"/>
    <n v="1604"/>
  </r>
  <r>
    <x v="290"/>
    <x v="0"/>
    <x v="13"/>
    <x v="2"/>
    <x v="6"/>
    <x v="1"/>
    <x v="15"/>
    <x v="289"/>
    <n v="19449.8"/>
    <n v="15404.7"/>
  </r>
  <r>
    <x v="291"/>
    <x v="0"/>
    <x v="0"/>
    <x v="2"/>
    <x v="10"/>
    <x v="0"/>
    <x v="12"/>
    <x v="290"/>
    <n v="369.6"/>
    <n v="8087.7"/>
  </r>
  <r>
    <x v="292"/>
    <x v="1"/>
    <x v="7"/>
    <x v="2"/>
    <x v="1"/>
    <x v="0"/>
    <x v="55"/>
    <x v="291"/>
    <n v="9921.1"/>
    <n v="6.1"/>
  </r>
  <r>
    <x v="293"/>
    <x v="1"/>
    <x v="32"/>
    <x v="10"/>
    <x v="1"/>
    <x v="0"/>
    <x v="5"/>
    <x v="292"/>
    <n v="9883"/>
    <n v="20.100000000000001"/>
  </r>
  <r>
    <x v="294"/>
    <x v="0"/>
    <x v="13"/>
    <x v="2"/>
    <x v="6"/>
    <x v="1"/>
    <x v="6"/>
    <x v="293"/>
    <n v="8490.9"/>
    <n v="10429.4"/>
  </r>
  <r>
    <x v="295"/>
    <x v="0"/>
    <x v="0"/>
    <x v="2"/>
    <x v="6"/>
    <x v="1"/>
    <x v="52"/>
    <x v="294"/>
    <n v="6239"/>
    <n v="3689.5"/>
  </r>
  <r>
    <x v="296"/>
    <x v="2"/>
    <x v="15"/>
    <x v="2"/>
    <x v="6"/>
    <x v="1"/>
    <x v="26"/>
    <x v="295"/>
    <n v="3977.8"/>
    <n v="6499.1"/>
  </r>
  <r>
    <x v="297"/>
    <x v="2"/>
    <x v="0"/>
    <x v="0"/>
    <x v="4"/>
    <x v="1"/>
    <x v="39"/>
    <x v="296"/>
    <n v="12396.8"/>
    <n v="1258.3"/>
  </r>
  <r>
    <x v="298"/>
    <x v="2"/>
    <x v="10"/>
    <x v="4"/>
    <x v="9"/>
    <x v="1"/>
    <x v="3"/>
    <x v="297"/>
    <n v="7743.7"/>
    <n v="7783.6"/>
  </r>
  <r>
    <x v="299"/>
    <x v="0"/>
    <x v="1"/>
    <x v="0"/>
    <x v="4"/>
    <x v="1"/>
    <x v="4"/>
    <x v="298"/>
    <n v="6159.1"/>
    <n v="2210.1"/>
  </r>
  <r>
    <x v="300"/>
    <x v="1"/>
    <x v="0"/>
    <x v="0"/>
    <x v="4"/>
    <x v="0"/>
    <x v="22"/>
    <x v="299"/>
    <n v="35585.800000000003"/>
    <n v="222.6"/>
  </r>
  <r>
    <x v="301"/>
    <x v="0"/>
    <x v="0"/>
    <x v="0"/>
    <x v="5"/>
    <x v="1"/>
    <x v="14"/>
    <x v="300"/>
    <n v="17589.400000000001"/>
    <n v="6122.5"/>
  </r>
  <r>
    <x v="302"/>
    <x v="0"/>
    <x v="33"/>
    <x v="0"/>
    <x v="5"/>
    <x v="1"/>
    <x v="19"/>
    <x v="301"/>
    <n v="12222.3"/>
    <n v="1249.7"/>
  </r>
  <r>
    <x v="303"/>
    <x v="0"/>
    <x v="10"/>
    <x v="4"/>
    <x v="9"/>
    <x v="0"/>
    <x v="15"/>
    <x v="302"/>
    <n v="8138.6"/>
    <n v="1988.4"/>
  </r>
  <r>
    <x v="304"/>
    <x v="0"/>
    <x v="10"/>
    <x v="4"/>
    <x v="6"/>
    <x v="1"/>
    <x v="14"/>
    <x v="303"/>
    <n v="2807.5"/>
    <n v="4581"/>
  </r>
  <r>
    <x v="305"/>
    <x v="0"/>
    <x v="10"/>
    <x v="4"/>
    <x v="0"/>
    <x v="1"/>
    <x v="26"/>
    <x v="304"/>
    <n v="1404.1"/>
    <n v="10305.200000000001"/>
  </r>
  <r>
    <x v="306"/>
    <x v="0"/>
    <x v="0"/>
    <x v="0"/>
    <x v="0"/>
    <x v="1"/>
    <x v="4"/>
    <x v="305"/>
    <n v="7551.1"/>
    <n v="2685"/>
  </r>
  <r>
    <x v="307"/>
    <x v="2"/>
    <x v="0"/>
    <x v="0"/>
    <x v="0"/>
    <x v="1"/>
    <x v="6"/>
    <x v="306"/>
    <n v="7853.3"/>
    <n v="5683.7"/>
  </r>
  <r>
    <x v="308"/>
    <x v="2"/>
    <x v="0"/>
    <x v="0"/>
    <x v="4"/>
    <x v="1"/>
    <x v="37"/>
    <x v="307"/>
    <n v="9731.6"/>
    <n v="2088"/>
  </r>
  <r>
    <x v="309"/>
    <x v="2"/>
    <x v="0"/>
    <x v="0"/>
    <x v="4"/>
    <x v="1"/>
    <x v="0"/>
    <x v="308"/>
    <n v="11637.4"/>
    <n v="0"/>
  </r>
  <r>
    <x v="310"/>
    <x v="0"/>
    <x v="0"/>
    <x v="0"/>
    <x v="1"/>
    <x v="0"/>
    <x v="56"/>
    <x v="309"/>
    <n v="18557"/>
    <n v="77.900000000000006"/>
  </r>
  <r>
    <x v="311"/>
    <x v="0"/>
    <x v="0"/>
    <x v="0"/>
    <x v="0"/>
    <x v="1"/>
    <x v="20"/>
    <x v="310"/>
    <n v="13945.2"/>
    <n v="14911.9"/>
  </r>
  <r>
    <x v="312"/>
    <x v="0"/>
    <x v="0"/>
    <x v="0"/>
    <x v="0"/>
    <x v="1"/>
    <x v="24"/>
    <x v="311"/>
    <n v="13409.8"/>
    <n v="0"/>
  </r>
  <r>
    <x v="313"/>
    <x v="0"/>
    <x v="9"/>
    <x v="0"/>
    <x v="4"/>
    <x v="1"/>
    <x v="16"/>
    <x v="312"/>
    <n v="11934"/>
    <n v="715.4"/>
  </r>
  <r>
    <x v="314"/>
    <x v="0"/>
    <x v="0"/>
    <x v="0"/>
    <x v="4"/>
    <x v="1"/>
    <x v="57"/>
    <x v="313"/>
    <n v="24355.5"/>
    <n v="908.9"/>
  </r>
  <r>
    <x v="315"/>
    <x v="0"/>
    <x v="0"/>
    <x v="0"/>
    <x v="0"/>
    <x v="0"/>
    <x v="20"/>
    <x v="314"/>
    <n v="13694"/>
    <n v="1874.1"/>
  </r>
  <r>
    <x v="316"/>
    <x v="0"/>
    <x v="0"/>
    <x v="0"/>
    <x v="2"/>
    <x v="1"/>
    <x v="15"/>
    <x v="315"/>
    <n v="7612.4"/>
    <n v="5460.1"/>
  </r>
  <r>
    <x v="317"/>
    <x v="2"/>
    <x v="0"/>
    <x v="0"/>
    <x v="4"/>
    <x v="1"/>
    <x v="24"/>
    <x v="316"/>
    <n v="20739"/>
    <n v="3175.7"/>
  </r>
  <r>
    <x v="318"/>
    <x v="0"/>
    <x v="15"/>
    <x v="2"/>
    <x v="0"/>
    <x v="1"/>
    <x v="18"/>
    <x v="317"/>
    <n v="5592"/>
    <n v="2724.4"/>
  </r>
  <r>
    <x v="319"/>
    <x v="2"/>
    <x v="28"/>
    <x v="0"/>
    <x v="13"/>
    <x v="1"/>
    <x v="19"/>
    <x v="318"/>
    <n v="9358.7999999999993"/>
    <n v="1614.9"/>
  </r>
  <r>
    <x v="320"/>
    <x v="2"/>
    <x v="34"/>
    <x v="0"/>
    <x v="4"/>
    <x v="1"/>
    <x v="24"/>
    <x v="319"/>
    <n v="6735.6"/>
    <n v="602"/>
  </r>
  <r>
    <x v="321"/>
    <x v="0"/>
    <x v="0"/>
    <x v="0"/>
    <x v="0"/>
    <x v="1"/>
    <x v="19"/>
    <x v="320"/>
    <n v="4583.7"/>
    <n v="2668.4"/>
  </r>
  <r>
    <x v="322"/>
    <x v="0"/>
    <x v="0"/>
    <x v="2"/>
    <x v="10"/>
    <x v="1"/>
    <x v="5"/>
    <x v="321"/>
    <n v="10113.700000000001"/>
    <n v="3183.3"/>
  </r>
  <r>
    <x v="323"/>
    <x v="0"/>
    <x v="8"/>
    <x v="2"/>
    <x v="0"/>
    <x v="1"/>
    <x v="29"/>
    <x v="322"/>
    <n v="3303.8"/>
    <n v="3905.7"/>
  </r>
  <r>
    <x v="324"/>
    <x v="0"/>
    <x v="13"/>
    <x v="2"/>
    <x v="6"/>
    <x v="0"/>
    <x v="14"/>
    <x v="323"/>
    <n v="11695.5"/>
    <n v="2609"/>
  </r>
  <r>
    <x v="325"/>
    <x v="0"/>
    <x v="0"/>
    <x v="0"/>
    <x v="19"/>
    <x v="1"/>
    <x v="0"/>
    <x v="324"/>
    <n v="26589.9"/>
    <n v="4600.3999999999996"/>
  </r>
  <r>
    <x v="326"/>
    <x v="0"/>
    <x v="1"/>
    <x v="0"/>
    <x v="1"/>
    <x v="0"/>
    <x v="37"/>
    <x v="325"/>
    <n v="7713.9"/>
    <n v="0"/>
  </r>
  <r>
    <x v="327"/>
    <x v="0"/>
    <x v="1"/>
    <x v="0"/>
    <x v="1"/>
    <x v="0"/>
    <x v="34"/>
    <x v="326"/>
    <n v="7752.7"/>
    <n v="1460.8"/>
  </r>
  <r>
    <x v="328"/>
    <x v="0"/>
    <x v="0"/>
    <x v="0"/>
    <x v="1"/>
    <x v="0"/>
    <x v="22"/>
    <x v="327"/>
    <n v="10185.799999999999"/>
    <n v="0"/>
  </r>
  <r>
    <x v="329"/>
    <x v="0"/>
    <x v="0"/>
    <x v="2"/>
    <x v="10"/>
    <x v="1"/>
    <x v="6"/>
    <x v="328"/>
    <n v="14022.5"/>
    <n v="19614.7"/>
  </r>
  <r>
    <x v="330"/>
    <x v="0"/>
    <x v="7"/>
    <x v="2"/>
    <x v="7"/>
    <x v="1"/>
    <x v="29"/>
    <x v="329"/>
    <n v="13993.4"/>
    <n v="6316.3"/>
  </r>
  <r>
    <x v="331"/>
    <x v="0"/>
    <x v="0"/>
    <x v="0"/>
    <x v="0"/>
    <x v="1"/>
    <x v="7"/>
    <x v="330"/>
    <n v="1236.7"/>
    <n v="6999.2"/>
  </r>
  <r>
    <x v="332"/>
    <x v="2"/>
    <x v="24"/>
    <x v="2"/>
    <x v="10"/>
    <x v="1"/>
    <x v="15"/>
    <x v="331"/>
    <n v="3564"/>
    <n v="5398.2"/>
  </r>
  <r>
    <x v="333"/>
    <x v="0"/>
    <x v="9"/>
    <x v="0"/>
    <x v="0"/>
    <x v="1"/>
    <x v="5"/>
    <x v="332"/>
    <n v="5619.6"/>
    <n v="2944.9"/>
  </r>
  <r>
    <x v="334"/>
    <x v="0"/>
    <x v="0"/>
    <x v="0"/>
    <x v="0"/>
    <x v="1"/>
    <x v="43"/>
    <x v="333"/>
    <n v="6445.6"/>
    <n v="1287.7"/>
  </r>
  <r>
    <x v="335"/>
    <x v="2"/>
    <x v="9"/>
    <x v="0"/>
    <x v="4"/>
    <x v="1"/>
    <x v="43"/>
    <x v="334"/>
    <n v="6657.6"/>
    <n v="974.8"/>
  </r>
  <r>
    <x v="336"/>
    <x v="0"/>
    <x v="0"/>
    <x v="2"/>
    <x v="10"/>
    <x v="1"/>
    <x v="12"/>
    <x v="335"/>
    <n v="12596.1"/>
    <n v="124.8"/>
  </r>
  <r>
    <x v="337"/>
    <x v="0"/>
    <x v="7"/>
    <x v="2"/>
    <x v="6"/>
    <x v="1"/>
    <x v="58"/>
    <x v="336"/>
    <n v="8668.1"/>
    <n v="1197.3"/>
  </r>
  <r>
    <x v="338"/>
    <x v="2"/>
    <x v="16"/>
    <x v="7"/>
    <x v="15"/>
    <x v="0"/>
    <x v="48"/>
    <x v="337"/>
    <n v="7880.6"/>
    <n v="5.3"/>
  </r>
  <r>
    <x v="339"/>
    <x v="0"/>
    <x v="0"/>
    <x v="0"/>
    <x v="2"/>
    <x v="1"/>
    <x v="24"/>
    <x v="338"/>
    <n v="8808.5"/>
    <n v="6090.2"/>
  </r>
  <r>
    <x v="340"/>
    <x v="0"/>
    <x v="0"/>
    <x v="0"/>
    <x v="0"/>
    <x v="1"/>
    <x v="15"/>
    <x v="339"/>
    <n v="9309.2000000000007"/>
    <n v="4586.6000000000004"/>
  </r>
  <r>
    <x v="341"/>
    <x v="0"/>
    <x v="27"/>
    <x v="0"/>
    <x v="4"/>
    <x v="1"/>
    <x v="15"/>
    <x v="340"/>
    <n v="3585.1"/>
    <n v="4693.6000000000004"/>
  </r>
  <r>
    <x v="342"/>
    <x v="0"/>
    <x v="9"/>
    <x v="0"/>
    <x v="1"/>
    <x v="0"/>
    <x v="23"/>
    <x v="341"/>
    <n v="9932.9"/>
    <n v="6.1"/>
  </r>
  <r>
    <x v="343"/>
    <x v="2"/>
    <x v="35"/>
    <x v="0"/>
    <x v="0"/>
    <x v="1"/>
    <x v="1"/>
    <x v="342"/>
    <n v="16316.4"/>
    <n v="27027.9"/>
  </r>
  <r>
    <x v="344"/>
    <x v="2"/>
    <x v="15"/>
    <x v="2"/>
    <x v="6"/>
    <x v="1"/>
    <x v="26"/>
    <x v="343"/>
    <n v="2470.4"/>
    <n v="4785.8"/>
  </r>
  <r>
    <x v="345"/>
    <x v="0"/>
    <x v="0"/>
    <x v="2"/>
    <x v="10"/>
    <x v="1"/>
    <x v="30"/>
    <x v="344"/>
    <n v="11175.4"/>
    <n v="14672"/>
  </r>
  <r>
    <x v="346"/>
    <x v="0"/>
    <x v="22"/>
    <x v="8"/>
    <x v="0"/>
    <x v="1"/>
    <x v="5"/>
    <x v="345"/>
    <n v="7069.7"/>
    <n v="4399.6000000000004"/>
  </r>
  <r>
    <x v="347"/>
    <x v="0"/>
    <x v="0"/>
    <x v="0"/>
    <x v="1"/>
    <x v="0"/>
    <x v="13"/>
    <x v="346"/>
    <n v="16236"/>
    <n v="0"/>
  </r>
  <r>
    <x v="348"/>
    <x v="0"/>
    <x v="0"/>
    <x v="0"/>
    <x v="0"/>
    <x v="1"/>
    <x v="29"/>
    <x v="347"/>
    <n v="6568.5"/>
    <n v="1885.2"/>
  </r>
  <r>
    <x v="349"/>
    <x v="0"/>
    <x v="0"/>
    <x v="0"/>
    <x v="17"/>
    <x v="1"/>
    <x v="5"/>
    <x v="348"/>
    <n v="12815.1"/>
    <n v="728"/>
  </r>
  <r>
    <x v="350"/>
    <x v="0"/>
    <x v="0"/>
    <x v="2"/>
    <x v="10"/>
    <x v="1"/>
    <x v="0"/>
    <x v="349"/>
    <n v="760.9"/>
    <n v="7455.6"/>
  </r>
  <r>
    <x v="351"/>
    <x v="0"/>
    <x v="1"/>
    <x v="0"/>
    <x v="1"/>
    <x v="0"/>
    <x v="36"/>
    <x v="350"/>
    <n v="11073.6"/>
    <n v="0"/>
  </r>
  <r>
    <x v="352"/>
    <x v="0"/>
    <x v="0"/>
    <x v="0"/>
    <x v="0"/>
    <x v="1"/>
    <x v="14"/>
    <x v="351"/>
    <n v="13416.1"/>
    <n v="990"/>
  </r>
  <r>
    <x v="353"/>
    <x v="2"/>
    <x v="1"/>
    <x v="0"/>
    <x v="8"/>
    <x v="1"/>
    <x v="29"/>
    <x v="352"/>
    <n v="7895.6"/>
    <n v="0"/>
  </r>
  <r>
    <x v="354"/>
    <x v="2"/>
    <x v="0"/>
    <x v="0"/>
    <x v="4"/>
    <x v="1"/>
    <x v="18"/>
    <x v="353"/>
    <n v="28797.599999999999"/>
    <n v="2.2000000000000002"/>
  </r>
  <r>
    <x v="355"/>
    <x v="0"/>
    <x v="0"/>
    <x v="2"/>
    <x v="10"/>
    <x v="1"/>
    <x v="5"/>
    <x v="354"/>
    <n v="6956"/>
    <n v="20.3"/>
  </r>
  <r>
    <x v="356"/>
    <x v="1"/>
    <x v="1"/>
    <x v="0"/>
    <x v="4"/>
    <x v="0"/>
    <x v="3"/>
    <x v="355"/>
    <n v="28898.2"/>
    <n v="0"/>
  </r>
  <r>
    <x v="357"/>
    <x v="1"/>
    <x v="0"/>
    <x v="0"/>
    <x v="4"/>
    <x v="0"/>
    <x v="1"/>
    <x v="356"/>
    <n v="19519.400000000001"/>
    <n v="1669.7"/>
  </r>
  <r>
    <x v="358"/>
    <x v="0"/>
    <x v="7"/>
    <x v="2"/>
    <x v="6"/>
    <x v="1"/>
    <x v="46"/>
    <x v="357"/>
    <n v="5573.7"/>
    <n v="4061"/>
  </r>
  <r>
    <x v="359"/>
    <x v="0"/>
    <x v="13"/>
    <x v="2"/>
    <x v="10"/>
    <x v="1"/>
    <x v="6"/>
    <x v="358"/>
    <n v="7400.3"/>
    <n v="508.4"/>
  </r>
  <r>
    <x v="360"/>
    <x v="0"/>
    <x v="0"/>
    <x v="2"/>
    <x v="10"/>
    <x v="1"/>
    <x v="19"/>
    <x v="359"/>
    <n v="20247.099999999999"/>
    <n v="27418.9"/>
  </r>
  <r>
    <x v="361"/>
    <x v="2"/>
    <x v="0"/>
    <x v="0"/>
    <x v="4"/>
    <x v="1"/>
    <x v="43"/>
    <x v="360"/>
    <n v="7125.4"/>
    <n v="9125"/>
  </r>
  <r>
    <x v="362"/>
    <x v="0"/>
    <x v="0"/>
    <x v="0"/>
    <x v="1"/>
    <x v="0"/>
    <x v="21"/>
    <x v="361"/>
    <n v="4417.2"/>
    <n v="9988.5"/>
  </r>
  <r>
    <x v="363"/>
    <x v="1"/>
    <x v="0"/>
    <x v="0"/>
    <x v="1"/>
    <x v="0"/>
    <x v="21"/>
    <x v="362"/>
    <n v="8241.1"/>
    <n v="3243.6"/>
  </r>
  <r>
    <x v="364"/>
    <x v="0"/>
    <x v="9"/>
    <x v="0"/>
    <x v="2"/>
    <x v="1"/>
    <x v="20"/>
    <x v="363"/>
    <n v="13237.2"/>
    <n v="1275"/>
  </r>
  <r>
    <x v="365"/>
    <x v="0"/>
    <x v="15"/>
    <x v="2"/>
    <x v="0"/>
    <x v="1"/>
    <x v="5"/>
    <x v="364"/>
    <n v="8082"/>
    <n v="2081.6999999999998"/>
  </r>
  <r>
    <x v="366"/>
    <x v="0"/>
    <x v="0"/>
    <x v="0"/>
    <x v="1"/>
    <x v="0"/>
    <x v="2"/>
    <x v="365"/>
    <n v="7673.1"/>
    <n v="0"/>
  </r>
  <r>
    <x v="367"/>
    <x v="0"/>
    <x v="7"/>
    <x v="2"/>
    <x v="7"/>
    <x v="1"/>
    <x v="46"/>
    <x v="366"/>
    <n v="18699.099999999999"/>
    <n v="14501.2"/>
  </r>
  <r>
    <x v="368"/>
    <x v="0"/>
    <x v="0"/>
    <x v="0"/>
    <x v="0"/>
    <x v="1"/>
    <x v="24"/>
    <x v="367"/>
    <n v="4000.7"/>
    <n v="11957.2"/>
  </r>
  <r>
    <x v="369"/>
    <x v="0"/>
    <x v="1"/>
    <x v="0"/>
    <x v="4"/>
    <x v="1"/>
    <x v="33"/>
    <x v="368"/>
    <n v="7942.6"/>
    <n v="0"/>
  </r>
  <r>
    <x v="370"/>
    <x v="0"/>
    <x v="1"/>
    <x v="0"/>
    <x v="1"/>
    <x v="0"/>
    <x v="38"/>
    <x v="369"/>
    <n v="11623.7"/>
    <n v="1790.5"/>
  </r>
  <r>
    <x v="371"/>
    <x v="0"/>
    <x v="13"/>
    <x v="2"/>
    <x v="6"/>
    <x v="0"/>
    <x v="19"/>
    <x v="370"/>
    <n v="7391.5"/>
    <n v="775.8"/>
  </r>
  <r>
    <x v="372"/>
    <x v="0"/>
    <x v="0"/>
    <x v="0"/>
    <x v="4"/>
    <x v="1"/>
    <x v="12"/>
    <x v="371"/>
    <n v="18250.900000000001"/>
    <n v="7641"/>
  </r>
  <r>
    <x v="373"/>
    <x v="0"/>
    <x v="1"/>
    <x v="0"/>
    <x v="0"/>
    <x v="1"/>
    <x v="24"/>
    <x v="372"/>
    <n v="7062.7"/>
    <n v="3394.7"/>
  </r>
  <r>
    <x v="374"/>
    <x v="0"/>
    <x v="0"/>
    <x v="0"/>
    <x v="0"/>
    <x v="1"/>
    <x v="3"/>
    <x v="373"/>
    <n v="15382.2"/>
    <n v="10446.9"/>
  </r>
  <r>
    <x v="375"/>
    <x v="0"/>
    <x v="0"/>
    <x v="0"/>
    <x v="0"/>
    <x v="1"/>
    <x v="5"/>
    <x v="374"/>
    <n v="13192.5"/>
    <n v="2067.1"/>
  </r>
  <r>
    <x v="376"/>
    <x v="0"/>
    <x v="0"/>
    <x v="0"/>
    <x v="0"/>
    <x v="1"/>
    <x v="29"/>
    <x v="375"/>
    <n v="14631.5"/>
    <n v="1588.4"/>
  </r>
  <r>
    <x v="377"/>
    <x v="0"/>
    <x v="0"/>
    <x v="0"/>
    <x v="4"/>
    <x v="1"/>
    <x v="3"/>
    <x v="376"/>
    <n v="48805.599999999999"/>
    <n v="6235.6"/>
  </r>
  <r>
    <x v="378"/>
    <x v="0"/>
    <x v="0"/>
    <x v="2"/>
    <x v="12"/>
    <x v="1"/>
    <x v="15"/>
    <x v="377"/>
    <n v="6483.6"/>
    <n v="3011.7"/>
  </r>
  <r>
    <x v="379"/>
    <x v="0"/>
    <x v="3"/>
    <x v="3"/>
    <x v="4"/>
    <x v="1"/>
    <x v="16"/>
    <x v="378"/>
    <n v="25181.4"/>
    <n v="3362.5"/>
  </r>
  <r>
    <x v="380"/>
    <x v="0"/>
    <x v="0"/>
    <x v="0"/>
    <x v="0"/>
    <x v="1"/>
    <x v="10"/>
    <x v="379"/>
    <n v="2977.3"/>
    <n v="16406.099999999999"/>
  </r>
  <r>
    <x v="381"/>
    <x v="0"/>
    <x v="1"/>
    <x v="0"/>
    <x v="1"/>
    <x v="0"/>
    <x v="11"/>
    <x v="380"/>
    <n v="29307.599999999999"/>
    <n v="70.8"/>
  </r>
  <r>
    <x v="382"/>
    <x v="0"/>
    <x v="8"/>
    <x v="2"/>
    <x v="10"/>
    <x v="1"/>
    <x v="46"/>
    <x v="381"/>
    <n v="7659.9"/>
    <n v="6698.1"/>
  </r>
  <r>
    <x v="383"/>
    <x v="0"/>
    <x v="1"/>
    <x v="0"/>
    <x v="1"/>
    <x v="0"/>
    <x v="7"/>
    <x v="382"/>
    <n v="16461.5"/>
    <n v="3"/>
  </r>
  <r>
    <x v="384"/>
    <x v="0"/>
    <x v="0"/>
    <x v="0"/>
    <x v="0"/>
    <x v="0"/>
    <x v="20"/>
    <x v="383"/>
    <n v="7270.4"/>
    <n v="754.2"/>
  </r>
  <r>
    <x v="385"/>
    <x v="0"/>
    <x v="36"/>
    <x v="6"/>
    <x v="0"/>
    <x v="1"/>
    <x v="24"/>
    <x v="384"/>
    <n v="3470.6"/>
    <n v="4267.7"/>
  </r>
  <r>
    <x v="386"/>
    <x v="0"/>
    <x v="14"/>
    <x v="6"/>
    <x v="11"/>
    <x v="0"/>
    <x v="30"/>
    <x v="385"/>
    <n v="10910.3"/>
    <n v="0"/>
  </r>
  <r>
    <x v="387"/>
    <x v="0"/>
    <x v="0"/>
    <x v="2"/>
    <x v="10"/>
    <x v="1"/>
    <x v="0"/>
    <x v="386"/>
    <n v="24898"/>
    <n v="15857.7"/>
  </r>
  <r>
    <x v="388"/>
    <x v="2"/>
    <x v="1"/>
    <x v="0"/>
    <x v="4"/>
    <x v="1"/>
    <x v="0"/>
    <x v="387"/>
    <n v="4832.5"/>
    <n v="5032.8999999999996"/>
  </r>
  <r>
    <x v="389"/>
    <x v="1"/>
    <x v="0"/>
    <x v="0"/>
    <x v="1"/>
    <x v="0"/>
    <x v="32"/>
    <x v="388"/>
    <n v="21884.2"/>
    <n v="0"/>
  </r>
  <r>
    <x v="390"/>
    <x v="0"/>
    <x v="7"/>
    <x v="2"/>
    <x v="6"/>
    <x v="0"/>
    <x v="21"/>
    <x v="389"/>
    <n v="9900.6"/>
    <n v="1953.1"/>
  </r>
  <r>
    <x v="391"/>
    <x v="0"/>
    <x v="8"/>
    <x v="2"/>
    <x v="0"/>
    <x v="1"/>
    <x v="0"/>
    <x v="390"/>
    <n v="11278.9"/>
    <n v="2462"/>
  </r>
  <r>
    <x v="392"/>
    <x v="0"/>
    <x v="1"/>
    <x v="0"/>
    <x v="4"/>
    <x v="1"/>
    <x v="14"/>
    <x v="391"/>
    <n v="6895.6"/>
    <n v="928.5"/>
  </r>
  <r>
    <x v="393"/>
    <x v="0"/>
    <x v="37"/>
    <x v="2"/>
    <x v="6"/>
    <x v="1"/>
    <x v="49"/>
    <x v="392"/>
    <n v="7854.4"/>
    <n v="4"/>
  </r>
  <r>
    <x v="394"/>
    <x v="0"/>
    <x v="0"/>
    <x v="0"/>
    <x v="0"/>
    <x v="1"/>
    <x v="24"/>
    <x v="393"/>
    <n v="3209.4"/>
    <n v="8365.7999999999993"/>
  </r>
  <r>
    <x v="395"/>
    <x v="2"/>
    <x v="38"/>
    <x v="0"/>
    <x v="4"/>
    <x v="1"/>
    <x v="21"/>
    <x v="394"/>
    <n v="44824.4"/>
    <n v="15846.4"/>
  </r>
  <r>
    <x v="396"/>
    <x v="2"/>
    <x v="1"/>
    <x v="0"/>
    <x v="4"/>
    <x v="1"/>
    <x v="19"/>
    <x v="395"/>
    <n v="3575.7"/>
    <n v="4021"/>
  </r>
  <r>
    <x v="397"/>
    <x v="0"/>
    <x v="14"/>
    <x v="6"/>
    <x v="5"/>
    <x v="1"/>
    <x v="0"/>
    <x v="396"/>
    <n v="7261.2"/>
    <n v="5145.8"/>
  </r>
  <r>
    <x v="398"/>
    <x v="0"/>
    <x v="0"/>
    <x v="0"/>
    <x v="0"/>
    <x v="1"/>
    <x v="14"/>
    <x v="397"/>
    <n v="7808"/>
    <n v="340"/>
  </r>
  <r>
    <x v="399"/>
    <x v="0"/>
    <x v="0"/>
    <x v="0"/>
    <x v="0"/>
    <x v="1"/>
    <x v="5"/>
    <x v="398"/>
    <n v="6665"/>
    <n v="7030"/>
  </r>
  <r>
    <x v="400"/>
    <x v="0"/>
    <x v="0"/>
    <x v="2"/>
    <x v="12"/>
    <x v="1"/>
    <x v="3"/>
    <x v="399"/>
    <n v="14249.8"/>
    <n v="6311"/>
  </r>
  <r>
    <x v="401"/>
    <x v="2"/>
    <x v="8"/>
    <x v="2"/>
    <x v="4"/>
    <x v="1"/>
    <x v="6"/>
    <x v="400"/>
    <n v="10084"/>
    <n v="4479.1000000000004"/>
  </r>
  <r>
    <x v="402"/>
    <x v="0"/>
    <x v="0"/>
    <x v="0"/>
    <x v="0"/>
    <x v="1"/>
    <x v="3"/>
    <x v="401"/>
    <n v="7678.7"/>
    <n v="364.9"/>
  </r>
  <r>
    <x v="403"/>
    <x v="0"/>
    <x v="13"/>
    <x v="2"/>
    <x v="10"/>
    <x v="1"/>
    <x v="5"/>
    <x v="402"/>
    <n v="4203.6000000000004"/>
    <n v="3448.5"/>
  </r>
  <r>
    <x v="404"/>
    <x v="0"/>
    <x v="0"/>
    <x v="0"/>
    <x v="0"/>
    <x v="1"/>
    <x v="10"/>
    <x v="403"/>
    <n v="0"/>
    <n v="7237.6"/>
  </r>
  <r>
    <x v="405"/>
    <x v="2"/>
    <x v="0"/>
    <x v="0"/>
    <x v="4"/>
    <x v="1"/>
    <x v="0"/>
    <x v="404"/>
    <n v="22789.599999999999"/>
    <n v="2114.3000000000002"/>
  </r>
  <r>
    <x v="406"/>
    <x v="0"/>
    <x v="3"/>
    <x v="3"/>
    <x v="3"/>
    <x v="0"/>
    <x v="37"/>
    <x v="405"/>
    <n v="6741.1"/>
    <n v="1843.2"/>
  </r>
  <r>
    <x v="407"/>
    <x v="0"/>
    <x v="1"/>
    <x v="0"/>
    <x v="4"/>
    <x v="1"/>
    <x v="19"/>
    <x v="406"/>
    <n v="24125.8"/>
    <n v="5078.3"/>
  </r>
  <r>
    <x v="408"/>
    <x v="0"/>
    <x v="0"/>
    <x v="0"/>
    <x v="0"/>
    <x v="1"/>
    <x v="10"/>
    <x v="407"/>
    <n v="4590.3999999999996"/>
    <n v="3227"/>
  </r>
  <r>
    <x v="409"/>
    <x v="0"/>
    <x v="17"/>
    <x v="0"/>
    <x v="16"/>
    <x v="1"/>
    <x v="23"/>
    <x v="408"/>
    <n v="9674.9"/>
    <n v="8539.4"/>
  </r>
  <r>
    <x v="410"/>
    <x v="0"/>
    <x v="13"/>
    <x v="2"/>
    <x v="6"/>
    <x v="1"/>
    <x v="20"/>
    <x v="409"/>
    <n v="10969.8"/>
    <n v="6018.9"/>
  </r>
  <r>
    <x v="411"/>
    <x v="0"/>
    <x v="39"/>
    <x v="2"/>
    <x v="10"/>
    <x v="1"/>
    <x v="0"/>
    <x v="410"/>
    <n v="7512.9"/>
    <n v="12015.4"/>
  </r>
  <r>
    <x v="412"/>
    <x v="2"/>
    <x v="0"/>
    <x v="0"/>
    <x v="4"/>
    <x v="1"/>
    <x v="10"/>
    <x v="411"/>
    <n v="16017.5"/>
    <n v="10884.4"/>
  </r>
  <r>
    <x v="413"/>
    <x v="1"/>
    <x v="16"/>
    <x v="7"/>
    <x v="15"/>
    <x v="0"/>
    <x v="14"/>
    <x v="412"/>
    <n v="8465.7000000000007"/>
    <n v="70"/>
  </r>
  <r>
    <x v="414"/>
    <x v="0"/>
    <x v="32"/>
    <x v="10"/>
    <x v="0"/>
    <x v="1"/>
    <x v="3"/>
    <x v="413"/>
    <n v="6110.3"/>
    <n v="3331.7"/>
  </r>
  <r>
    <x v="415"/>
    <x v="2"/>
    <x v="13"/>
    <x v="2"/>
    <x v="6"/>
    <x v="1"/>
    <x v="2"/>
    <x v="414"/>
    <n v="24041"/>
    <n v="7171.5"/>
  </r>
  <r>
    <x v="416"/>
    <x v="0"/>
    <x v="9"/>
    <x v="0"/>
    <x v="4"/>
    <x v="1"/>
    <x v="0"/>
    <x v="415"/>
    <n v="28781"/>
    <n v="699"/>
  </r>
  <r>
    <x v="417"/>
    <x v="2"/>
    <x v="3"/>
    <x v="3"/>
    <x v="3"/>
    <x v="1"/>
    <x v="22"/>
    <x v="416"/>
    <n v="2035.3"/>
    <n v="13703.9"/>
  </r>
  <r>
    <x v="418"/>
    <x v="2"/>
    <x v="2"/>
    <x v="0"/>
    <x v="4"/>
    <x v="1"/>
    <x v="53"/>
    <x v="417"/>
    <n v="21063.200000000001"/>
    <n v="10588.2"/>
  </r>
  <r>
    <x v="419"/>
    <x v="0"/>
    <x v="0"/>
    <x v="0"/>
    <x v="5"/>
    <x v="1"/>
    <x v="15"/>
    <x v="418"/>
    <n v="5328.3"/>
    <n v="5873.2"/>
  </r>
  <r>
    <x v="420"/>
    <x v="0"/>
    <x v="0"/>
    <x v="0"/>
    <x v="11"/>
    <x v="0"/>
    <x v="34"/>
    <x v="419"/>
    <n v="11056.2"/>
    <n v="0"/>
  </r>
  <r>
    <x v="421"/>
    <x v="0"/>
    <x v="0"/>
    <x v="0"/>
    <x v="0"/>
    <x v="1"/>
    <x v="59"/>
    <x v="420"/>
    <n v="7762"/>
    <n v="12890.7"/>
  </r>
  <r>
    <x v="422"/>
    <x v="0"/>
    <x v="0"/>
    <x v="0"/>
    <x v="2"/>
    <x v="1"/>
    <x v="14"/>
    <x v="421"/>
    <n v="9179.2000000000007"/>
    <n v="1201.2"/>
  </r>
  <r>
    <x v="423"/>
    <x v="0"/>
    <x v="0"/>
    <x v="0"/>
    <x v="8"/>
    <x v="1"/>
    <x v="31"/>
    <x v="422"/>
    <n v="7723.5"/>
    <n v="648"/>
  </r>
  <r>
    <x v="424"/>
    <x v="0"/>
    <x v="16"/>
    <x v="7"/>
    <x v="15"/>
    <x v="0"/>
    <x v="29"/>
    <x v="423"/>
    <n v="14819"/>
    <n v="136.5"/>
  </r>
  <r>
    <x v="425"/>
    <x v="2"/>
    <x v="0"/>
    <x v="0"/>
    <x v="2"/>
    <x v="1"/>
    <x v="29"/>
    <x v="424"/>
    <n v="7776.1"/>
    <n v="2980.3"/>
  </r>
  <r>
    <x v="426"/>
    <x v="0"/>
    <x v="0"/>
    <x v="0"/>
    <x v="0"/>
    <x v="1"/>
    <x v="15"/>
    <x v="425"/>
    <n v="502.4"/>
    <n v="15243.6"/>
  </r>
  <r>
    <x v="427"/>
    <x v="0"/>
    <x v="0"/>
    <x v="0"/>
    <x v="11"/>
    <x v="0"/>
    <x v="28"/>
    <x v="426"/>
    <n v="13017.1"/>
    <n v="0"/>
  </r>
  <r>
    <x v="428"/>
    <x v="2"/>
    <x v="0"/>
    <x v="0"/>
    <x v="2"/>
    <x v="1"/>
    <x v="19"/>
    <x v="427"/>
    <n v="25267.5"/>
    <n v="13627.2"/>
  </r>
  <r>
    <x v="429"/>
    <x v="0"/>
    <x v="0"/>
    <x v="0"/>
    <x v="0"/>
    <x v="1"/>
    <x v="16"/>
    <x v="428"/>
    <n v="4560.6000000000004"/>
    <n v="4524.3"/>
  </r>
  <r>
    <x v="430"/>
    <x v="0"/>
    <x v="0"/>
    <x v="2"/>
    <x v="10"/>
    <x v="1"/>
    <x v="24"/>
    <x v="429"/>
    <n v="10905.7"/>
    <n v="38"/>
  </r>
  <r>
    <x v="431"/>
    <x v="0"/>
    <x v="2"/>
    <x v="0"/>
    <x v="1"/>
    <x v="1"/>
    <x v="10"/>
    <x v="430"/>
    <n v="13232.8"/>
    <n v="1165.4000000000001"/>
  </r>
  <r>
    <x v="432"/>
    <x v="0"/>
    <x v="3"/>
    <x v="3"/>
    <x v="3"/>
    <x v="1"/>
    <x v="14"/>
    <x v="431"/>
    <n v="2987.7"/>
    <n v="5745.3"/>
  </r>
  <r>
    <x v="433"/>
    <x v="2"/>
    <x v="9"/>
    <x v="0"/>
    <x v="4"/>
    <x v="1"/>
    <x v="5"/>
    <x v="432"/>
    <n v="16893.7"/>
    <n v="1823.3"/>
  </r>
  <r>
    <x v="434"/>
    <x v="2"/>
    <x v="0"/>
    <x v="0"/>
    <x v="4"/>
    <x v="1"/>
    <x v="24"/>
    <x v="433"/>
    <n v="126177.3"/>
    <n v="1683.8"/>
  </r>
  <r>
    <x v="435"/>
    <x v="0"/>
    <x v="0"/>
    <x v="0"/>
    <x v="4"/>
    <x v="1"/>
    <x v="26"/>
    <x v="434"/>
    <n v="7949"/>
    <n v="1236.7"/>
  </r>
  <r>
    <x v="436"/>
    <x v="0"/>
    <x v="1"/>
    <x v="0"/>
    <x v="1"/>
    <x v="0"/>
    <x v="19"/>
    <x v="435"/>
    <n v="10191.700000000001"/>
    <n v="301.5"/>
  </r>
  <r>
    <x v="437"/>
    <x v="0"/>
    <x v="1"/>
    <x v="0"/>
    <x v="1"/>
    <x v="0"/>
    <x v="31"/>
    <x v="436"/>
    <n v="26138.7"/>
    <n v="2.2000000000000002"/>
  </r>
  <r>
    <x v="438"/>
    <x v="0"/>
    <x v="0"/>
    <x v="0"/>
    <x v="5"/>
    <x v="0"/>
    <x v="19"/>
    <x v="437"/>
    <n v="22661.5"/>
    <n v="1189.8"/>
  </r>
  <r>
    <x v="439"/>
    <x v="0"/>
    <x v="1"/>
    <x v="0"/>
    <x v="1"/>
    <x v="0"/>
    <x v="40"/>
    <x v="438"/>
    <n v="7035"/>
    <n v="3.3"/>
  </r>
  <r>
    <x v="440"/>
    <x v="0"/>
    <x v="2"/>
    <x v="0"/>
    <x v="0"/>
    <x v="1"/>
    <x v="29"/>
    <x v="439"/>
    <n v="10487.9"/>
    <n v="5077.6000000000004"/>
  </r>
  <r>
    <x v="441"/>
    <x v="0"/>
    <x v="0"/>
    <x v="0"/>
    <x v="1"/>
    <x v="0"/>
    <x v="12"/>
    <x v="440"/>
    <n v="1893.8"/>
    <n v="8878.2000000000007"/>
  </r>
  <r>
    <x v="442"/>
    <x v="0"/>
    <x v="0"/>
    <x v="0"/>
    <x v="17"/>
    <x v="0"/>
    <x v="19"/>
    <x v="441"/>
    <n v="9207.9"/>
    <n v="460.8"/>
  </r>
  <r>
    <x v="443"/>
    <x v="1"/>
    <x v="0"/>
    <x v="0"/>
    <x v="4"/>
    <x v="0"/>
    <x v="5"/>
    <x v="442"/>
    <n v="5774.4"/>
    <n v="1261.4000000000001"/>
  </r>
  <r>
    <x v="444"/>
    <x v="0"/>
    <x v="0"/>
    <x v="0"/>
    <x v="13"/>
    <x v="0"/>
    <x v="3"/>
    <x v="443"/>
    <n v="19435.599999999999"/>
    <n v="14.3"/>
  </r>
  <r>
    <x v="445"/>
    <x v="0"/>
    <x v="0"/>
    <x v="0"/>
    <x v="0"/>
    <x v="1"/>
    <x v="59"/>
    <x v="444"/>
    <n v="5006.3999999999996"/>
    <n v="5977.1"/>
  </r>
  <r>
    <x v="446"/>
    <x v="0"/>
    <x v="0"/>
    <x v="0"/>
    <x v="1"/>
    <x v="0"/>
    <x v="13"/>
    <x v="445"/>
    <n v="8328.6"/>
    <n v="5.6"/>
  </r>
  <r>
    <x v="447"/>
    <x v="0"/>
    <x v="1"/>
    <x v="0"/>
    <x v="1"/>
    <x v="0"/>
    <x v="50"/>
    <x v="446"/>
    <n v="7980.4"/>
    <n v="0.6"/>
  </r>
  <r>
    <x v="448"/>
    <x v="0"/>
    <x v="1"/>
    <x v="0"/>
    <x v="1"/>
    <x v="0"/>
    <x v="57"/>
    <x v="447"/>
    <n v="4905.7"/>
    <n v="7658.9"/>
  </r>
  <r>
    <x v="449"/>
    <x v="0"/>
    <x v="27"/>
    <x v="0"/>
    <x v="1"/>
    <x v="0"/>
    <x v="10"/>
    <x v="448"/>
    <n v="8483.9"/>
    <n v="29.2"/>
  </r>
  <r>
    <x v="450"/>
    <x v="0"/>
    <x v="1"/>
    <x v="0"/>
    <x v="1"/>
    <x v="0"/>
    <x v="56"/>
    <x v="449"/>
    <n v="8019.1"/>
    <n v="0"/>
  </r>
  <r>
    <x v="451"/>
    <x v="0"/>
    <x v="0"/>
    <x v="0"/>
    <x v="1"/>
    <x v="0"/>
    <x v="16"/>
    <x v="450"/>
    <n v="4641.5"/>
    <n v="3299.4"/>
  </r>
  <r>
    <x v="452"/>
    <x v="0"/>
    <x v="9"/>
    <x v="0"/>
    <x v="2"/>
    <x v="1"/>
    <x v="37"/>
    <x v="451"/>
    <n v="77189.399999999994"/>
    <n v="18513.8"/>
  </r>
  <r>
    <x v="453"/>
    <x v="0"/>
    <x v="0"/>
    <x v="0"/>
    <x v="19"/>
    <x v="1"/>
    <x v="19"/>
    <x v="452"/>
    <n v="3928"/>
    <n v="3422.3"/>
  </r>
  <r>
    <x v="454"/>
    <x v="0"/>
    <x v="9"/>
    <x v="0"/>
    <x v="1"/>
    <x v="0"/>
    <x v="4"/>
    <x v="453"/>
    <n v="7983.1"/>
    <n v="224.9"/>
  </r>
  <r>
    <x v="455"/>
    <x v="0"/>
    <x v="15"/>
    <x v="2"/>
    <x v="0"/>
    <x v="1"/>
    <x v="29"/>
    <x v="454"/>
    <n v="4274.5"/>
    <n v="3113.3"/>
  </r>
  <r>
    <x v="456"/>
    <x v="0"/>
    <x v="33"/>
    <x v="0"/>
    <x v="5"/>
    <x v="1"/>
    <x v="36"/>
    <x v="455"/>
    <n v="13653.1"/>
    <n v="4569.1000000000004"/>
  </r>
  <r>
    <x v="457"/>
    <x v="0"/>
    <x v="0"/>
    <x v="0"/>
    <x v="0"/>
    <x v="1"/>
    <x v="53"/>
    <x v="456"/>
    <n v="4314.3"/>
    <n v="5425.4"/>
  </r>
  <r>
    <x v="458"/>
    <x v="2"/>
    <x v="15"/>
    <x v="2"/>
    <x v="4"/>
    <x v="1"/>
    <x v="6"/>
    <x v="457"/>
    <n v="5811.9"/>
    <n v="2696"/>
  </r>
  <r>
    <x v="459"/>
    <x v="0"/>
    <x v="7"/>
    <x v="2"/>
    <x v="7"/>
    <x v="1"/>
    <x v="58"/>
    <x v="458"/>
    <n v="7969.4"/>
    <n v="6215.6"/>
  </r>
  <r>
    <x v="460"/>
    <x v="0"/>
    <x v="1"/>
    <x v="0"/>
    <x v="4"/>
    <x v="1"/>
    <x v="19"/>
    <x v="459"/>
    <n v="3894"/>
    <n v="3483.8"/>
  </r>
  <r>
    <x v="461"/>
    <x v="0"/>
    <x v="16"/>
    <x v="7"/>
    <x v="15"/>
    <x v="0"/>
    <x v="26"/>
    <x v="460"/>
    <n v="6877.5"/>
    <n v="304.7"/>
  </r>
  <r>
    <x v="462"/>
    <x v="0"/>
    <x v="9"/>
    <x v="0"/>
    <x v="0"/>
    <x v="1"/>
    <x v="37"/>
    <x v="461"/>
    <n v="11602.1"/>
    <n v="4424.8"/>
  </r>
  <r>
    <x v="463"/>
    <x v="2"/>
    <x v="4"/>
    <x v="0"/>
    <x v="4"/>
    <x v="1"/>
    <x v="24"/>
    <x v="462"/>
    <n v="5689.4"/>
    <n v="3122.8"/>
  </r>
  <r>
    <x v="464"/>
    <x v="0"/>
    <x v="0"/>
    <x v="0"/>
    <x v="2"/>
    <x v="1"/>
    <x v="21"/>
    <x v="463"/>
    <n v="4609.5"/>
    <n v="6628.7"/>
  </r>
  <r>
    <x v="465"/>
    <x v="0"/>
    <x v="0"/>
    <x v="0"/>
    <x v="0"/>
    <x v="1"/>
    <x v="20"/>
    <x v="464"/>
    <n v="35338.699999999997"/>
    <n v="30027"/>
  </r>
  <r>
    <x v="466"/>
    <x v="0"/>
    <x v="0"/>
    <x v="0"/>
    <x v="0"/>
    <x v="1"/>
    <x v="6"/>
    <x v="465"/>
    <n v="11762.8"/>
    <n v="7126.8"/>
  </r>
  <r>
    <x v="467"/>
    <x v="0"/>
    <x v="40"/>
    <x v="0"/>
    <x v="4"/>
    <x v="1"/>
    <x v="24"/>
    <x v="466"/>
    <n v="7323"/>
    <n v="3009.8"/>
  </r>
  <r>
    <x v="468"/>
    <x v="0"/>
    <x v="0"/>
    <x v="0"/>
    <x v="4"/>
    <x v="0"/>
    <x v="15"/>
    <x v="467"/>
    <n v="7850.9"/>
    <n v="932.8"/>
  </r>
  <r>
    <x v="469"/>
    <x v="0"/>
    <x v="0"/>
    <x v="0"/>
    <x v="13"/>
    <x v="0"/>
    <x v="37"/>
    <x v="468"/>
    <n v="22215.200000000001"/>
    <n v="269.10000000000002"/>
  </r>
  <r>
    <x v="470"/>
    <x v="2"/>
    <x v="16"/>
    <x v="7"/>
    <x v="15"/>
    <x v="0"/>
    <x v="14"/>
    <x v="469"/>
    <n v="2648.7"/>
    <n v="10073.4"/>
  </r>
  <r>
    <x v="471"/>
    <x v="0"/>
    <x v="0"/>
    <x v="0"/>
    <x v="2"/>
    <x v="1"/>
    <x v="3"/>
    <x v="470"/>
    <n v="5073.8"/>
    <n v="21394.799999999999"/>
  </r>
  <r>
    <x v="472"/>
    <x v="0"/>
    <x v="0"/>
    <x v="0"/>
    <x v="0"/>
    <x v="1"/>
    <x v="10"/>
    <x v="471"/>
    <n v="7403"/>
    <n v="10664.8"/>
  </r>
  <r>
    <x v="473"/>
    <x v="0"/>
    <x v="0"/>
    <x v="0"/>
    <x v="0"/>
    <x v="1"/>
    <x v="37"/>
    <x v="472"/>
    <n v="23925.9"/>
    <n v="3208.7"/>
  </r>
  <r>
    <x v="474"/>
    <x v="0"/>
    <x v="27"/>
    <x v="0"/>
    <x v="1"/>
    <x v="0"/>
    <x v="40"/>
    <x v="473"/>
    <n v="10020.5"/>
    <n v="599.29999999999995"/>
  </r>
  <r>
    <x v="475"/>
    <x v="0"/>
    <x v="41"/>
    <x v="3"/>
    <x v="3"/>
    <x v="1"/>
    <x v="17"/>
    <x v="474"/>
    <n v="3408.5"/>
    <n v="4789.5"/>
  </r>
  <r>
    <x v="476"/>
    <x v="0"/>
    <x v="0"/>
    <x v="0"/>
    <x v="2"/>
    <x v="1"/>
    <x v="36"/>
    <x v="475"/>
    <n v="12525.4"/>
    <n v="5896.3"/>
  </r>
  <r>
    <x v="477"/>
    <x v="0"/>
    <x v="2"/>
    <x v="0"/>
    <x v="17"/>
    <x v="1"/>
    <x v="20"/>
    <x v="476"/>
    <n v="7918.7"/>
    <n v="176.9"/>
  </r>
  <r>
    <x v="478"/>
    <x v="0"/>
    <x v="7"/>
    <x v="2"/>
    <x v="7"/>
    <x v="1"/>
    <x v="60"/>
    <x v="477"/>
    <n v="8009"/>
    <n v="204.5"/>
  </r>
  <r>
    <x v="479"/>
    <x v="0"/>
    <x v="3"/>
    <x v="3"/>
    <x v="3"/>
    <x v="0"/>
    <x v="34"/>
    <x v="478"/>
    <n v="8858.9"/>
    <n v="1312.6"/>
  </r>
  <r>
    <x v="480"/>
    <x v="0"/>
    <x v="10"/>
    <x v="4"/>
    <x v="6"/>
    <x v="1"/>
    <x v="4"/>
    <x v="479"/>
    <n v="5257.8"/>
    <n v="2361"/>
  </r>
  <r>
    <x v="481"/>
    <x v="2"/>
    <x v="0"/>
    <x v="0"/>
    <x v="2"/>
    <x v="1"/>
    <x v="49"/>
    <x v="480"/>
    <n v="7564.4"/>
    <n v="1267.8"/>
  </r>
  <r>
    <x v="482"/>
    <x v="0"/>
    <x v="0"/>
    <x v="2"/>
    <x v="10"/>
    <x v="1"/>
    <x v="43"/>
    <x v="481"/>
    <n v="4702.2"/>
    <n v="8580.5"/>
  </r>
  <r>
    <x v="483"/>
    <x v="0"/>
    <x v="0"/>
    <x v="2"/>
    <x v="10"/>
    <x v="0"/>
    <x v="28"/>
    <x v="482"/>
    <n v="8971.1"/>
    <n v="4360.5"/>
  </r>
  <r>
    <x v="484"/>
    <x v="0"/>
    <x v="0"/>
    <x v="0"/>
    <x v="0"/>
    <x v="1"/>
    <x v="24"/>
    <x v="483"/>
    <n v="11748.9"/>
    <n v="13549.3"/>
  </r>
  <r>
    <x v="485"/>
    <x v="0"/>
    <x v="18"/>
    <x v="0"/>
    <x v="18"/>
    <x v="1"/>
    <x v="3"/>
    <x v="484"/>
    <n v="3260"/>
    <n v="7882.2"/>
  </r>
  <r>
    <x v="486"/>
    <x v="0"/>
    <x v="0"/>
    <x v="0"/>
    <x v="0"/>
    <x v="1"/>
    <x v="20"/>
    <x v="485"/>
    <n v="34419.9"/>
    <n v="5998.9"/>
  </r>
  <r>
    <x v="487"/>
    <x v="0"/>
    <x v="0"/>
    <x v="2"/>
    <x v="10"/>
    <x v="1"/>
    <x v="4"/>
    <x v="486"/>
    <n v="5938.5"/>
    <n v="6997.8"/>
  </r>
  <r>
    <x v="488"/>
    <x v="0"/>
    <x v="0"/>
    <x v="0"/>
    <x v="0"/>
    <x v="1"/>
    <x v="14"/>
    <x v="487"/>
    <n v="9084.2000000000007"/>
    <n v="1067.9000000000001"/>
  </r>
  <r>
    <x v="489"/>
    <x v="0"/>
    <x v="0"/>
    <x v="0"/>
    <x v="0"/>
    <x v="1"/>
    <x v="10"/>
    <x v="488"/>
    <n v="4260.1000000000004"/>
    <n v="5102.2"/>
  </r>
  <r>
    <x v="490"/>
    <x v="0"/>
    <x v="0"/>
    <x v="0"/>
    <x v="0"/>
    <x v="1"/>
    <x v="5"/>
    <x v="489"/>
    <n v="7067.3"/>
    <n v="0"/>
  </r>
  <r>
    <x v="491"/>
    <x v="0"/>
    <x v="0"/>
    <x v="0"/>
    <x v="0"/>
    <x v="1"/>
    <x v="3"/>
    <x v="490"/>
    <n v="10464.200000000001"/>
    <n v="20472.3"/>
  </r>
  <r>
    <x v="492"/>
    <x v="0"/>
    <x v="0"/>
    <x v="0"/>
    <x v="0"/>
    <x v="1"/>
    <x v="14"/>
    <x v="491"/>
    <n v="15305.8"/>
    <n v="4841.7"/>
  </r>
  <r>
    <x v="493"/>
    <x v="0"/>
    <x v="0"/>
    <x v="0"/>
    <x v="19"/>
    <x v="1"/>
    <x v="26"/>
    <x v="492"/>
    <n v="19690.8"/>
    <n v="47.3"/>
  </r>
  <r>
    <x v="494"/>
    <x v="2"/>
    <x v="4"/>
    <x v="0"/>
    <x v="4"/>
    <x v="1"/>
    <x v="10"/>
    <x v="493"/>
    <n v="9372.1"/>
    <n v="4858.7"/>
  </r>
  <r>
    <x v="495"/>
    <x v="0"/>
    <x v="1"/>
    <x v="0"/>
    <x v="4"/>
    <x v="1"/>
    <x v="15"/>
    <x v="494"/>
    <n v="11398.2"/>
    <n v="1255.5"/>
  </r>
  <r>
    <x v="496"/>
    <x v="0"/>
    <x v="10"/>
    <x v="4"/>
    <x v="9"/>
    <x v="0"/>
    <x v="3"/>
    <x v="495"/>
    <n v="9203.4"/>
    <n v="1721.9"/>
  </r>
  <r>
    <x v="497"/>
    <x v="0"/>
    <x v="42"/>
    <x v="0"/>
    <x v="5"/>
    <x v="1"/>
    <x v="15"/>
    <x v="496"/>
    <n v="11486.5"/>
    <n v="0"/>
  </r>
  <r>
    <x v="498"/>
    <x v="0"/>
    <x v="0"/>
    <x v="2"/>
    <x v="10"/>
    <x v="1"/>
    <x v="12"/>
    <x v="497"/>
    <n v="1713.9"/>
    <n v="5947.7"/>
  </r>
  <r>
    <x v="499"/>
    <x v="0"/>
    <x v="0"/>
    <x v="2"/>
    <x v="10"/>
    <x v="0"/>
    <x v="43"/>
    <x v="498"/>
    <n v="5018.3999999999996"/>
    <n v="7786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A2565-B264-4EA7-904D-1E87431339D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B4:D48" firstHeaderRow="0" firstDataRow="1" firstDataCol="1"/>
  <pivotFields count="10">
    <pivotField dataField="1" showAll="0"/>
    <pivotField showAll="0"/>
    <pivotField axis="axisRow"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treams (in millions)" fld="7" baseField="0" baseItem="0"/>
    <dataField name="Count of Artis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F96A2-C824-47B1-88CF-376A870EB6C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tist Type">
  <location ref="AC8:AD12" firstHeaderRow="1" firstDataRow="1" firstDataCol="1"/>
  <pivotFields count="10">
    <pivotField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dataField="1"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showAll="0">
      <items count="3">
        <item x="0"/>
        <item x="1"/>
        <item t="default"/>
      </items>
    </pivotField>
    <pivotField showAll="0" countASubtotal="1" maxSubtotal="1">
      <items count="63">
        <item x="47"/>
        <item x="42"/>
        <item x="45"/>
        <item x="51"/>
        <item x="31"/>
        <item x="25"/>
        <item x="57"/>
        <item x="60"/>
        <item x="38"/>
        <item x="35"/>
        <item x="44"/>
        <item x="27"/>
        <item x="8"/>
        <item x="11"/>
        <item x="9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12"/>
        <item x="21"/>
        <item x="24"/>
        <item x="1"/>
        <item x="10"/>
        <item x="37"/>
        <item x="15"/>
        <item x="3"/>
        <item x="19"/>
        <item x="20"/>
        <item x="0"/>
        <item x="14"/>
        <item x="6"/>
        <item x="5"/>
        <item x="29"/>
        <item x="26"/>
        <item x="46"/>
        <item x="18"/>
        <item x="48"/>
        <item x="58"/>
        <item t="countA"/>
        <item t="max"/>
      </items>
    </pivotField>
    <pivotField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mary Genre" fld="4" subtotal="count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95213-2BC9-4CBA-ABBA-C40B6ABE4CF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tist Type">
  <location ref="Y8:Z11" firstHeaderRow="1" firstDataRow="1" firstDataCol="1"/>
  <pivotFields count="10">
    <pivotField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dataField="1"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axis="axisRow" showAll="0">
      <items count="3">
        <item x="0"/>
        <item x="1"/>
        <item t="default"/>
      </items>
    </pivotField>
    <pivotField showAll="0" countASubtotal="1" maxSubtotal="1">
      <items count="63">
        <item x="47"/>
        <item x="42"/>
        <item x="45"/>
        <item x="51"/>
        <item x="31"/>
        <item x="25"/>
        <item x="57"/>
        <item x="60"/>
        <item x="38"/>
        <item x="35"/>
        <item x="44"/>
        <item x="27"/>
        <item x="8"/>
        <item x="11"/>
        <item x="9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12"/>
        <item x="21"/>
        <item x="24"/>
        <item x="1"/>
        <item x="10"/>
        <item x="37"/>
        <item x="15"/>
        <item x="3"/>
        <item x="19"/>
        <item x="20"/>
        <item x="0"/>
        <item x="14"/>
        <item x="6"/>
        <item x="5"/>
        <item x="29"/>
        <item x="26"/>
        <item x="46"/>
        <item x="18"/>
        <item x="48"/>
        <item x="58"/>
        <item t="countA"/>
        <item t="max"/>
      </items>
    </pivotField>
    <pivotField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" fld="4" subtotal="count" baseField="0" baseItem="0"/>
  </dataFields>
  <formats count="1"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0966A-9EB1-443B-B415-2377723B60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but Year">
  <location ref="O8:Q70" firstHeaderRow="0" firstDataRow="1" firstDataCol="1"/>
  <pivotFields count="10">
    <pivotField dataField="1"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showAll="0"/>
    <pivotField axis="axisRow" showAll="0" countASubtotal="1" maxSubtotal="1">
      <items count="63">
        <item x="47"/>
        <item x="42"/>
        <item x="45"/>
        <item x="51"/>
        <item x="31"/>
        <item x="25"/>
        <item x="57"/>
        <item x="60"/>
        <item x="38"/>
        <item x="35"/>
        <item x="44"/>
        <item x="27"/>
        <item x="8"/>
        <item x="11"/>
        <item x="9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12"/>
        <item x="21"/>
        <item x="24"/>
        <item x="1"/>
        <item x="10"/>
        <item x="37"/>
        <item x="15"/>
        <item x="3"/>
        <item x="19"/>
        <item x="20"/>
        <item x="0"/>
        <item x="14"/>
        <item x="6"/>
        <item x="5"/>
        <item x="29"/>
        <item x="26"/>
        <item x="46"/>
        <item x="18"/>
        <item x="48"/>
        <item x="58"/>
        <item t="countA"/>
        <item t="max"/>
      </items>
    </pivotField>
    <pivotField dataField="1"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6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rtist Name" fld="0" subtotal="count" baseField="0" baseItem="0"/>
    <dataField name="Sum of Total Streams (in millions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2B983-FD0B-4818-B97D-5527D02688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">
  <location ref="H8:J32" firstHeaderRow="0" firstDataRow="1" firstDataCol="1"/>
  <pivotFields count="10">
    <pivotField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axis="axisRow" dataField="1"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showAll="0"/>
    <pivotField showAll="0"/>
    <pivotField dataField="1"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imary Genre" fld="4" subtotal="count" baseField="0" baseItem="0"/>
    <dataField name="Sum of Total Streams (in millions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B1FAD-DBA1-40EA-9968-8D7B9449882A}" name="Table2" displayName="Table2" ref="A1:N501" totalsRowShown="0" dataDxfId="39">
  <tableColumns count="14">
    <tableColumn id="1" xr3:uid="{94334167-6282-4EA8-BA99-5BA2C9978310}" name="Artist Name" dataDxfId="38"/>
    <tableColumn id="2" xr3:uid="{A57895AA-0BAA-4E25-8A26-39CD9EE3377C}" name="Sex" dataDxfId="37"/>
    <tableColumn id="3" xr3:uid="{BD124CB2-4658-49F3-9832-10B804FEF813}" name="Country of Origin" dataDxfId="36"/>
    <tableColumn id="4" xr3:uid="{68E717A7-EBE9-42C9-8E11-BF3C5AFB879C}" name="Primary Language" dataDxfId="35"/>
    <tableColumn id="5" xr3:uid="{D0ABD0B9-327A-4FDC-B8B4-FC903E2D9136}" name="Primary Genre" dataDxfId="34"/>
    <tableColumn id="6" xr3:uid="{36701536-A21A-46B4-89B0-B1973C49707B}" name=" Artist Type" dataDxfId="33"/>
    <tableColumn id="7" xr3:uid="{3F7F5FE4-3C1B-4DA0-B241-3A6F9958BD2C}" name="Debut Year" dataDxfId="32"/>
    <tableColumn id="8" xr3:uid="{A90C64EA-3ECC-45AF-ADAB-554908537346}" name="Total Streams (in millions)" dataDxfId="31"/>
    <tableColumn id="9" xr3:uid="{F539D4E6-1428-4B19-8AA6-B4AF49766643}" name="Lead Streams (in millions)" dataDxfId="30"/>
    <tableColumn id="10" xr3:uid="{3433D30A-6E26-44DC-9A7E-93090F0490E8}" name="Feature Streams (in millions)" dataDxfId="29"/>
    <tableColumn id="11" xr3:uid="{C84D4BD1-F8AB-4BA5-92E7-BDB8FF2A3A2A}" name="Solo Streams (in millions)" dataDxfId="28"/>
    <tableColumn id="12" xr3:uid="{2C03A32A-85DE-4ADF-9A57-B9DD05E253AC}" name="Percentage of Solo Streams" dataDxfId="27"/>
    <tableColumn id="13" xr3:uid="{1CF2C480-AB92-4B1C-A88F-D88D9DD97632}" name="Collaborative Streams (in millions)" dataDxfId="26"/>
    <tableColumn id="14" xr3:uid="{B9DE0A39-F75C-4D2B-8B63-16065134B20F}" name="Percentage of Collaborative Streams" dataDxfId="25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DCB39-A223-4D11-B840-B936C7920584}" name="Table23" displayName="Table23" ref="A1:J501" totalsRowShown="0" headerRowDxfId="54" dataDxfId="53">
  <sortState xmlns:xlrd2="http://schemas.microsoft.com/office/spreadsheetml/2017/richdata2" ref="A2:J501">
    <sortCondition ref="A2:A501"/>
  </sortState>
  <tableColumns count="10">
    <tableColumn id="1" xr3:uid="{E37FFAEE-C711-4D83-8657-7465DB53A855}" name="Artist Name" dataDxfId="52"/>
    <tableColumn id="2" xr3:uid="{293225E8-9805-46A6-A4E3-6DB32D03BF55}" name="Sex" dataDxfId="51"/>
    <tableColumn id="3" xr3:uid="{5056E586-CD43-42BA-9D6D-CF4674E554B7}" name="Country of Origin" dataDxfId="50"/>
    <tableColumn id="4" xr3:uid="{1DFF22BC-21C0-4274-A605-FC34E5B957E5}" name="Primary Language" dataDxfId="49"/>
    <tableColumn id="5" xr3:uid="{DC83EAE8-8433-480F-9114-AC47B04BEBFF}" name="Primary Genre" dataDxfId="48"/>
    <tableColumn id="6" xr3:uid="{48DF0FB0-AF7F-456F-A127-79BEE2A5EBEE}" name=" Artist Type" dataDxfId="47"/>
    <tableColumn id="7" xr3:uid="{6F588767-070C-49F6-8EE4-02B3900125C8}" name="Debut Year" dataDxfId="46"/>
    <tableColumn id="8" xr3:uid="{99709E69-7951-49CB-9A81-A744F5833368}" name="Total Streams (in millions)" dataDxfId="45"/>
    <tableColumn id="9" xr3:uid="{875734DC-17B5-4327-857F-F0E0E1EE5740}" name="Lead Streams (in millions)" dataDxfId="44"/>
    <tableColumn id="10" xr3:uid="{C9934380-8064-4719-8669-68C0B5D8B775}" name="Feature Streams (in millions)" dataDxfId="43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6DA2AE-3683-4C72-A87A-E61E01604613}" name="Table57" displayName="Table57" ref="M18:N23" totalsRowShown="0" headerRowDxfId="0" dataDxfId="42">
  <tableColumns count="2">
    <tableColumn id="1" xr3:uid="{BABB298D-2795-40EF-9C10-F46B062F1212}" name="Column1" dataDxfId="41"/>
    <tableColumn id="2" xr3:uid="{99001042-FEA8-4DB3-A1CD-8D40F19D772D}" name="Column2" dataDxfId="4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042C2B-A4C2-4717-B519-D21F8855125D}" name="Table3" displayName="Table3" ref="A1:J502" totalsRowCount="1" headerRowDxfId="24" dataDxfId="23">
  <autoFilter ref="A1:J501" xr:uid="{DD042C2B-A4C2-4717-B519-D21F8855125D}"/>
  <tableColumns count="10">
    <tableColumn id="1" xr3:uid="{9FC81B48-9355-499B-8FBC-F36EBE23C52C}" name="Artist Name" dataDxfId="22" totalsRowDxfId="21"/>
    <tableColumn id="2" xr3:uid="{049DAAEE-182B-4399-9896-32A85296B66F}" name="Sex" dataDxfId="20" totalsRowDxfId="19">
      <calculatedColumnFormula>VLOOKUP(A2,Spotify1,2,FALSE)</calculatedColumnFormula>
    </tableColumn>
    <tableColumn id="3" xr3:uid="{49D45310-C216-4873-A6A8-E72F0C206CE2}" name="Country of Origin" dataDxfId="18" totalsRowDxfId="17">
      <calculatedColumnFormula>VLOOKUP(A2,Spotify1,3,FALSE)</calculatedColumnFormula>
    </tableColumn>
    <tableColumn id="4" xr3:uid="{C0FB858C-55B2-48A5-8F6A-8C0451E3163F}" name="Primary Language" dataDxfId="16" totalsRowDxfId="15">
      <calculatedColumnFormula>VLOOKUP(A2,Spotify1,4,FALSE)</calculatedColumnFormula>
    </tableColumn>
    <tableColumn id="5" xr3:uid="{421B5302-3680-45A1-9275-9EE557011548}" name="Primary Genre" dataDxfId="14" totalsRowDxfId="13">
      <calculatedColumnFormula>VLOOKUP(A2,Spotify1,5,FALSE)</calculatedColumnFormula>
    </tableColumn>
    <tableColumn id="6" xr3:uid="{30655BD6-DC23-4A33-8632-902924E97077}" name=" Artist Type" dataDxfId="12" totalsRowDxfId="11">
      <calculatedColumnFormula>VLOOKUP(A2,Spotify1,6,FALSE)</calculatedColumnFormula>
    </tableColumn>
    <tableColumn id="7" xr3:uid="{7BAA0653-E990-4818-B8C8-768E1DC76389}" name="Debut Year" dataDxfId="10" totalsRowDxfId="9">
      <calculatedColumnFormula>VLOOKUP(A2,Spotify1,7,FALSE)</calculatedColumnFormula>
    </tableColumn>
    <tableColumn id="8" xr3:uid="{E2D2C604-7310-4F13-8FA2-2869222C84DB}" name="Total Streams (in millions)" dataDxfId="8" totalsRowDxfId="7">
      <calculatedColumnFormula>VLOOKUP(A2,Spotify1,8,FALSE)</calculatedColumnFormula>
    </tableColumn>
    <tableColumn id="9" xr3:uid="{981EBDEE-779B-4DE8-AC84-55D81F49529E}" name="Lead Streams (in millions)" dataDxfId="6" totalsRowDxfId="5">
      <calculatedColumnFormula>VLOOKUP(A2,Spotify1,9,FALSE)</calculatedColumnFormula>
    </tableColumn>
    <tableColumn id="10" xr3:uid="{BF3DF1DD-CC08-413F-9D7C-37757D27DA02}" name="Feature Streams (in millions)" dataDxfId="4" totalsRowDxfId="3">
      <calculatedColumnFormula>VLOOKUP(A2,Spotify1,10,FALSE)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>
      <selection activeCell="B33" sqref="B33"/>
    </sheetView>
  </sheetViews>
  <sheetFormatPr defaultRowHeight="14.25" x14ac:dyDescent="0.45"/>
  <cols>
    <col min="1" max="1" width="39.53125" bestFit="1" customWidth="1"/>
    <col min="2" max="2" width="8.3984375" customWidth="1"/>
    <col min="3" max="3" width="17" bestFit="1" customWidth="1"/>
    <col min="4" max="4" width="17.3984375" bestFit="1" customWidth="1"/>
    <col min="5" max="5" width="14.73046875" bestFit="1" customWidth="1"/>
    <col min="6" max="6" width="12.265625" bestFit="1" customWidth="1"/>
    <col min="7" max="7" width="12" bestFit="1" customWidth="1"/>
    <col min="8" max="8" width="24.33203125" bestFit="1" customWidth="1"/>
    <col min="9" max="9" width="24.06640625" bestFit="1" customWidth="1"/>
    <col min="10" max="10" width="26.46484375" bestFit="1" customWidth="1"/>
    <col min="11" max="11" width="23.796875" bestFit="1" customWidth="1"/>
    <col min="12" max="12" width="17.59765625" bestFit="1" customWidth="1"/>
    <col min="13" max="13" width="31.06640625" bestFit="1" customWidth="1"/>
    <col min="14" max="14" width="24.9296875" bestFit="1" customWidth="1"/>
  </cols>
  <sheetData>
    <row r="1" spans="1:14" x14ac:dyDescent="0.45">
      <c r="A1" t="s">
        <v>582</v>
      </c>
      <c r="B1" t="s">
        <v>583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591</v>
      </c>
      <c r="K1" t="s">
        <v>592</v>
      </c>
      <c r="L1" t="s">
        <v>594</v>
      </c>
      <c r="M1" t="s">
        <v>593</v>
      </c>
      <c r="N1" t="s">
        <v>595</v>
      </c>
    </row>
    <row r="2" spans="1:14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2006</v>
      </c>
      <c r="H2">
        <v>137492.1</v>
      </c>
      <c r="I2">
        <v>94851.1</v>
      </c>
      <c r="J2">
        <v>42640.9</v>
      </c>
      <c r="K2">
        <v>53323.9</v>
      </c>
      <c r="L2">
        <v>38.783246460000001</v>
      </c>
      <c r="M2">
        <v>84168.2</v>
      </c>
      <c r="N2">
        <v>61.216753539999999</v>
      </c>
    </row>
    <row r="3" spans="1:14" x14ac:dyDescent="0.45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5</v>
      </c>
      <c r="G3">
        <v>2006</v>
      </c>
      <c r="H3">
        <v>127861</v>
      </c>
      <c r="I3">
        <v>126177.3</v>
      </c>
      <c r="J3">
        <v>1683.8</v>
      </c>
      <c r="K3">
        <v>113421.5</v>
      </c>
      <c r="L3">
        <v>88.706877000000006</v>
      </c>
      <c r="M3">
        <v>14439.5</v>
      </c>
      <c r="N3">
        <v>11.293123</v>
      </c>
    </row>
    <row r="4" spans="1:14" x14ac:dyDescent="0.45">
      <c r="A4" t="s">
        <v>10</v>
      </c>
      <c r="B4" t="s">
        <v>1</v>
      </c>
      <c r="C4" t="s">
        <v>8</v>
      </c>
      <c r="D4" t="s">
        <v>11</v>
      </c>
      <c r="E4" t="s">
        <v>12</v>
      </c>
      <c r="F4" t="s">
        <v>5</v>
      </c>
      <c r="G4">
        <v>2013</v>
      </c>
      <c r="H4">
        <v>125899.8</v>
      </c>
      <c r="I4">
        <v>82189.3</v>
      </c>
      <c r="J4">
        <v>43710.5</v>
      </c>
      <c r="K4">
        <v>48887</v>
      </c>
      <c r="L4">
        <v>38.830085510000004</v>
      </c>
      <c r="M4">
        <v>77012.800000000003</v>
      </c>
      <c r="N4">
        <v>61.169914489999996</v>
      </c>
    </row>
    <row r="5" spans="1:14" x14ac:dyDescent="0.45">
      <c r="A5" t="s">
        <v>13</v>
      </c>
      <c r="B5" t="s">
        <v>1</v>
      </c>
      <c r="C5" t="s">
        <v>2</v>
      </c>
      <c r="D5" t="s">
        <v>3</v>
      </c>
      <c r="E5" t="s">
        <v>14</v>
      </c>
      <c r="F5" t="s">
        <v>5</v>
      </c>
      <c r="G5">
        <v>2009</v>
      </c>
      <c r="H5">
        <v>95703.2</v>
      </c>
      <c r="I5">
        <v>77189.399999999994</v>
      </c>
      <c r="J5">
        <v>18513.8</v>
      </c>
      <c r="K5">
        <v>51020</v>
      </c>
      <c r="L5">
        <v>53.310652099999999</v>
      </c>
      <c r="M5">
        <v>44683.199999999997</v>
      </c>
      <c r="N5">
        <v>46.689347900000001</v>
      </c>
    </row>
    <row r="6" spans="1:14" x14ac:dyDescent="0.45">
      <c r="A6" t="s">
        <v>15</v>
      </c>
      <c r="B6" t="s">
        <v>1</v>
      </c>
      <c r="C6" t="s">
        <v>2</v>
      </c>
      <c r="D6" t="s">
        <v>3</v>
      </c>
      <c r="E6" t="s">
        <v>9</v>
      </c>
      <c r="F6" t="s">
        <v>5</v>
      </c>
      <c r="G6">
        <v>2009</v>
      </c>
      <c r="H6">
        <v>78104.399999999994</v>
      </c>
      <c r="I6">
        <v>48316.2</v>
      </c>
      <c r="J6">
        <v>29788.2</v>
      </c>
      <c r="K6">
        <v>29638.3</v>
      </c>
      <c r="L6">
        <v>37.947029870000001</v>
      </c>
      <c r="M6">
        <v>48466.1</v>
      </c>
      <c r="N6">
        <v>62.052970129999999</v>
      </c>
    </row>
    <row r="7" spans="1:14" x14ac:dyDescent="0.45">
      <c r="A7" t="s">
        <v>16</v>
      </c>
      <c r="B7" t="s">
        <v>7</v>
      </c>
      <c r="C7" t="s">
        <v>8</v>
      </c>
      <c r="D7" t="s">
        <v>3</v>
      </c>
      <c r="E7" t="s">
        <v>9</v>
      </c>
      <c r="F7" t="s">
        <v>5</v>
      </c>
      <c r="G7">
        <v>2013</v>
      </c>
      <c r="H7">
        <v>68298.899999999994</v>
      </c>
      <c r="I7">
        <v>57097.5</v>
      </c>
      <c r="J7">
        <v>11201.4</v>
      </c>
      <c r="K7">
        <v>41615.5</v>
      </c>
      <c r="L7">
        <v>60.931435209999997</v>
      </c>
      <c r="M7">
        <v>26683.4</v>
      </c>
      <c r="N7">
        <v>39.068564790000003</v>
      </c>
    </row>
    <row r="8" spans="1:14" x14ac:dyDescent="0.45">
      <c r="A8" t="s">
        <v>17</v>
      </c>
      <c r="B8" t="s">
        <v>1</v>
      </c>
      <c r="C8" t="s">
        <v>8</v>
      </c>
      <c r="D8" t="s">
        <v>3</v>
      </c>
      <c r="E8" t="s">
        <v>4</v>
      </c>
      <c r="F8" t="s">
        <v>5</v>
      </c>
      <c r="G8">
        <v>2013</v>
      </c>
      <c r="H8">
        <v>65349.7</v>
      </c>
      <c r="I8">
        <v>35338.699999999997</v>
      </c>
      <c r="J8">
        <v>30027</v>
      </c>
      <c r="K8">
        <v>25309.9</v>
      </c>
      <c r="L8">
        <v>38.72994061</v>
      </c>
      <c r="M8">
        <v>40039.800000000003</v>
      </c>
      <c r="N8">
        <v>61.27005939</v>
      </c>
    </row>
    <row r="9" spans="1:14" x14ac:dyDescent="0.45">
      <c r="A9" t="s">
        <v>18</v>
      </c>
      <c r="B9" t="s">
        <v>1</v>
      </c>
      <c r="C9" t="s">
        <v>8</v>
      </c>
      <c r="D9" t="s">
        <v>3</v>
      </c>
      <c r="E9" t="s">
        <v>4</v>
      </c>
      <c r="F9" t="s">
        <v>5</v>
      </c>
      <c r="G9">
        <v>2004</v>
      </c>
      <c r="H9">
        <v>65142.9</v>
      </c>
      <c r="I9">
        <v>46558.400000000001</v>
      </c>
      <c r="J9">
        <v>18584.5</v>
      </c>
      <c r="K9">
        <v>28473</v>
      </c>
      <c r="L9">
        <v>43.708523880000001</v>
      </c>
      <c r="M9">
        <v>36669.9</v>
      </c>
      <c r="N9">
        <v>56.291476119999999</v>
      </c>
    </row>
    <row r="10" spans="1:14" x14ac:dyDescent="0.45">
      <c r="A10" t="s">
        <v>19</v>
      </c>
      <c r="B10" t="s">
        <v>1</v>
      </c>
      <c r="C10" t="s">
        <v>20</v>
      </c>
      <c r="D10" t="s">
        <v>3</v>
      </c>
      <c r="E10" t="s">
        <v>9</v>
      </c>
      <c r="F10" t="s">
        <v>5</v>
      </c>
      <c r="G10">
        <v>2011</v>
      </c>
      <c r="H10">
        <v>64656.9</v>
      </c>
      <c r="I10">
        <v>57704</v>
      </c>
      <c r="J10">
        <v>6967.8</v>
      </c>
      <c r="K10">
        <v>46700</v>
      </c>
      <c r="L10">
        <v>72.227403420000002</v>
      </c>
      <c r="M10">
        <v>17956.900000000001</v>
      </c>
      <c r="N10">
        <v>27.772596579999998</v>
      </c>
    </row>
    <row r="11" spans="1:14" x14ac:dyDescent="0.45">
      <c r="A11" t="s">
        <v>21</v>
      </c>
      <c r="B11" t="s">
        <v>1</v>
      </c>
      <c r="C11" t="s">
        <v>8</v>
      </c>
      <c r="D11" t="s">
        <v>3</v>
      </c>
      <c r="E11" t="s">
        <v>4</v>
      </c>
      <c r="F11" t="s">
        <v>5</v>
      </c>
      <c r="G11">
        <v>1996</v>
      </c>
      <c r="H11">
        <v>64549</v>
      </c>
      <c r="I11">
        <v>54466.8</v>
      </c>
      <c r="J11">
        <v>10100.700000000001</v>
      </c>
      <c r="K11">
        <v>32940</v>
      </c>
      <c r="L11">
        <v>51.030999710000003</v>
      </c>
      <c r="M11">
        <v>31609</v>
      </c>
      <c r="N11">
        <v>48.969000289999997</v>
      </c>
    </row>
    <row r="12" spans="1:14" x14ac:dyDescent="0.45">
      <c r="A12" t="s">
        <v>22</v>
      </c>
      <c r="B12" t="s">
        <v>7</v>
      </c>
      <c r="C12" t="s">
        <v>23</v>
      </c>
      <c r="D12" t="s">
        <v>3</v>
      </c>
      <c r="E12" t="s">
        <v>9</v>
      </c>
      <c r="F12" t="s">
        <v>5</v>
      </c>
      <c r="G12">
        <v>2005</v>
      </c>
      <c r="H12">
        <v>60670.7</v>
      </c>
      <c r="I12">
        <v>44824.4</v>
      </c>
      <c r="J12">
        <v>15846.4</v>
      </c>
      <c r="K12">
        <v>30261.8</v>
      </c>
      <c r="L12">
        <v>49.878771800000003</v>
      </c>
      <c r="M12">
        <v>30408.9</v>
      </c>
      <c r="N12">
        <v>50.121228199999997</v>
      </c>
    </row>
    <row r="13" spans="1:14" x14ac:dyDescent="0.45">
      <c r="A13" t="s">
        <v>24</v>
      </c>
      <c r="B13" t="s">
        <v>7</v>
      </c>
      <c r="C13" t="s">
        <v>8</v>
      </c>
      <c r="D13" t="s">
        <v>3</v>
      </c>
      <c r="E13" t="s">
        <v>9</v>
      </c>
      <c r="F13" t="s">
        <v>5</v>
      </c>
      <c r="G13">
        <v>2015</v>
      </c>
      <c r="H13">
        <v>58049.5</v>
      </c>
      <c r="I13">
        <v>57160.1</v>
      </c>
      <c r="J13">
        <v>889.4</v>
      </c>
      <c r="K13">
        <v>51567.9</v>
      </c>
      <c r="L13">
        <v>88.834356889999995</v>
      </c>
      <c r="M13">
        <v>6481.6</v>
      </c>
      <c r="N13">
        <v>11.16564311</v>
      </c>
    </row>
    <row r="14" spans="1:14" x14ac:dyDescent="0.45">
      <c r="A14" t="s">
        <v>25</v>
      </c>
      <c r="B14" t="s">
        <v>1</v>
      </c>
      <c r="C14" t="s">
        <v>8</v>
      </c>
      <c r="D14" t="s">
        <v>3</v>
      </c>
      <c r="E14" t="s">
        <v>9</v>
      </c>
      <c r="F14" t="s">
        <v>5</v>
      </c>
      <c r="G14">
        <v>2010</v>
      </c>
      <c r="H14">
        <v>56727.1</v>
      </c>
      <c r="I14">
        <v>40714</v>
      </c>
      <c r="J14">
        <v>16013.1</v>
      </c>
      <c r="K14">
        <v>33618.1</v>
      </c>
      <c r="L14">
        <v>59.262856730000003</v>
      </c>
      <c r="M14">
        <v>23109</v>
      </c>
      <c r="N14">
        <v>40.737143269999997</v>
      </c>
    </row>
    <row r="15" spans="1:14" x14ac:dyDescent="0.45">
      <c r="A15" t="s">
        <v>26</v>
      </c>
      <c r="B15" t="s">
        <v>1</v>
      </c>
      <c r="C15" t="s">
        <v>8</v>
      </c>
      <c r="D15" t="s">
        <v>3</v>
      </c>
      <c r="E15" t="s">
        <v>4</v>
      </c>
      <c r="F15" t="s">
        <v>5</v>
      </c>
      <c r="G15">
        <v>2009</v>
      </c>
      <c r="H15">
        <v>56459.5</v>
      </c>
      <c r="I15">
        <v>40752.199999999997</v>
      </c>
      <c r="J15">
        <v>15725</v>
      </c>
      <c r="K15">
        <v>23403.5</v>
      </c>
      <c r="L15">
        <v>41.451837159999997</v>
      </c>
      <c r="M15">
        <v>33056</v>
      </c>
      <c r="N15">
        <v>58.548162840000003</v>
      </c>
    </row>
    <row r="16" spans="1:14" x14ac:dyDescent="0.45">
      <c r="A16" t="s">
        <v>27</v>
      </c>
      <c r="B16" t="s">
        <v>1</v>
      </c>
      <c r="C16" t="s">
        <v>8</v>
      </c>
      <c r="D16" t="s">
        <v>3</v>
      </c>
      <c r="E16" t="s">
        <v>9</v>
      </c>
      <c r="F16" t="s">
        <v>5</v>
      </c>
      <c r="G16">
        <v>2011</v>
      </c>
      <c r="H16">
        <v>55028.3</v>
      </c>
      <c r="I16">
        <v>48805.599999999999</v>
      </c>
      <c r="J16">
        <v>6235.6</v>
      </c>
      <c r="K16">
        <v>25419.4</v>
      </c>
      <c r="L16">
        <v>46.193322350000003</v>
      </c>
      <c r="M16">
        <v>29608.9</v>
      </c>
      <c r="N16">
        <v>53.806677649999997</v>
      </c>
    </row>
    <row r="17" spans="1:14" x14ac:dyDescent="0.45">
      <c r="A17" t="s">
        <v>28</v>
      </c>
      <c r="B17" t="s">
        <v>1</v>
      </c>
      <c r="C17" t="s">
        <v>29</v>
      </c>
      <c r="D17" t="s">
        <v>11</v>
      </c>
      <c r="E17" t="s">
        <v>12</v>
      </c>
      <c r="F17" t="s">
        <v>5</v>
      </c>
      <c r="G17">
        <v>2004</v>
      </c>
      <c r="H17">
        <v>54649.2</v>
      </c>
      <c r="I17">
        <v>25333.3</v>
      </c>
      <c r="J17">
        <v>29334</v>
      </c>
      <c r="K17">
        <v>7844.5</v>
      </c>
      <c r="L17">
        <v>14.35428149</v>
      </c>
      <c r="M17">
        <v>46804.7</v>
      </c>
      <c r="N17">
        <v>85.645718509999995</v>
      </c>
    </row>
    <row r="18" spans="1:14" x14ac:dyDescent="0.45">
      <c r="A18" t="s">
        <v>30</v>
      </c>
      <c r="B18" t="s">
        <v>1</v>
      </c>
      <c r="C18" t="s">
        <v>8</v>
      </c>
      <c r="D18" t="s">
        <v>3</v>
      </c>
      <c r="E18" t="s">
        <v>4</v>
      </c>
      <c r="F18" t="s">
        <v>5</v>
      </c>
      <c r="G18">
        <v>2010</v>
      </c>
      <c r="H18">
        <v>53951.5</v>
      </c>
      <c r="I18">
        <v>27879</v>
      </c>
      <c r="J18">
        <v>26072.5</v>
      </c>
      <c r="K18">
        <v>12647.5</v>
      </c>
      <c r="L18">
        <v>23.442350999999999</v>
      </c>
      <c r="M18">
        <v>41304</v>
      </c>
      <c r="N18">
        <v>76.557648999999998</v>
      </c>
    </row>
    <row r="19" spans="1:14" x14ac:dyDescent="0.45">
      <c r="A19" t="s">
        <v>31</v>
      </c>
      <c r="B19" t="s">
        <v>1</v>
      </c>
      <c r="C19" t="s">
        <v>32</v>
      </c>
      <c r="D19" t="s">
        <v>33</v>
      </c>
      <c r="E19" t="s">
        <v>34</v>
      </c>
      <c r="F19" t="s">
        <v>35</v>
      </c>
      <c r="G19">
        <v>2013</v>
      </c>
      <c r="H19">
        <v>53308.9</v>
      </c>
      <c r="I19">
        <v>47969.9</v>
      </c>
      <c r="J19">
        <v>5339</v>
      </c>
      <c r="K19">
        <v>44114.400000000001</v>
      </c>
      <c r="L19">
        <v>82.752410949999998</v>
      </c>
      <c r="M19">
        <v>9194.5</v>
      </c>
      <c r="N19">
        <v>17.247589049999998</v>
      </c>
    </row>
    <row r="20" spans="1:14" x14ac:dyDescent="0.45">
      <c r="A20" t="s">
        <v>36</v>
      </c>
      <c r="B20" t="s">
        <v>1</v>
      </c>
      <c r="C20" t="s">
        <v>8</v>
      </c>
      <c r="D20" t="s">
        <v>11</v>
      </c>
      <c r="E20" t="s">
        <v>12</v>
      </c>
      <c r="F20" t="s">
        <v>5</v>
      </c>
      <c r="G20">
        <v>2012</v>
      </c>
      <c r="H20">
        <v>47649.2</v>
      </c>
      <c r="I20">
        <v>20247.099999999999</v>
      </c>
      <c r="J20">
        <v>27418.9</v>
      </c>
      <c r="K20">
        <v>8621.1</v>
      </c>
      <c r="L20">
        <v>18.092853609999999</v>
      </c>
      <c r="M20">
        <v>39028.1</v>
      </c>
      <c r="N20">
        <v>81.907146389999994</v>
      </c>
    </row>
    <row r="21" spans="1:14" x14ac:dyDescent="0.45">
      <c r="A21" t="s">
        <v>37</v>
      </c>
      <c r="B21" t="s">
        <v>1</v>
      </c>
      <c r="C21" t="s">
        <v>20</v>
      </c>
      <c r="D21" t="s">
        <v>3</v>
      </c>
      <c r="E21" t="s">
        <v>38</v>
      </c>
      <c r="F21" t="s">
        <v>35</v>
      </c>
      <c r="G21">
        <v>1999</v>
      </c>
      <c r="H21">
        <v>46720.4</v>
      </c>
      <c r="I21">
        <v>42837.1</v>
      </c>
      <c r="J21">
        <v>3901.3</v>
      </c>
      <c r="K21">
        <v>38535.199999999997</v>
      </c>
      <c r="L21">
        <v>82.480458220000003</v>
      </c>
      <c r="M21">
        <v>8185.2</v>
      </c>
      <c r="N21">
        <v>17.519541780000001</v>
      </c>
    </row>
    <row r="22" spans="1:14" x14ac:dyDescent="0.45">
      <c r="A22" t="s">
        <v>39</v>
      </c>
      <c r="B22" t="s">
        <v>1</v>
      </c>
      <c r="C22" t="s">
        <v>8</v>
      </c>
      <c r="D22" t="s">
        <v>3</v>
      </c>
      <c r="E22" t="s">
        <v>4</v>
      </c>
      <c r="F22" t="s">
        <v>5</v>
      </c>
      <c r="G22">
        <v>2015</v>
      </c>
      <c r="H22">
        <v>46276.4</v>
      </c>
      <c r="I22">
        <v>34132.1</v>
      </c>
      <c r="J22">
        <v>12155.1</v>
      </c>
      <c r="K22">
        <v>26675.7</v>
      </c>
      <c r="L22">
        <v>57.64428521</v>
      </c>
      <c r="M22">
        <v>19600.7</v>
      </c>
      <c r="N22">
        <v>42.35571479</v>
      </c>
    </row>
    <row r="23" spans="1:14" x14ac:dyDescent="0.45">
      <c r="A23" t="s">
        <v>48</v>
      </c>
      <c r="B23" t="s">
        <v>7</v>
      </c>
      <c r="C23" t="s">
        <v>20</v>
      </c>
      <c r="D23" t="s">
        <v>3</v>
      </c>
      <c r="E23" t="s">
        <v>9</v>
      </c>
      <c r="F23" t="s">
        <v>5</v>
      </c>
      <c r="G23">
        <v>2015</v>
      </c>
      <c r="H23">
        <v>41944.1</v>
      </c>
      <c r="I23">
        <v>28269.7</v>
      </c>
      <c r="J23">
        <v>13687.6</v>
      </c>
      <c r="K23">
        <v>23133.7</v>
      </c>
      <c r="L23">
        <v>55.153644970000002</v>
      </c>
      <c r="M23">
        <v>18810.400000000001</v>
      </c>
      <c r="N23">
        <v>44.846355029999998</v>
      </c>
    </row>
    <row r="24" spans="1:14" x14ac:dyDescent="0.45">
      <c r="A24" t="s">
        <v>40</v>
      </c>
      <c r="B24" t="s">
        <v>1</v>
      </c>
      <c r="C24" t="s">
        <v>8</v>
      </c>
      <c r="D24" t="s">
        <v>3</v>
      </c>
      <c r="E24" t="s">
        <v>14</v>
      </c>
      <c r="F24" t="s">
        <v>5</v>
      </c>
      <c r="G24">
        <v>2005</v>
      </c>
      <c r="H24">
        <v>43963.8</v>
      </c>
      <c r="I24">
        <v>24455.7</v>
      </c>
      <c r="J24">
        <v>19523.900000000001</v>
      </c>
      <c r="K24">
        <v>12219.3</v>
      </c>
      <c r="L24">
        <v>27.794003249999999</v>
      </c>
      <c r="M24">
        <v>31744.5</v>
      </c>
      <c r="N24">
        <v>72.205996749999997</v>
      </c>
    </row>
    <row r="25" spans="1:14" x14ac:dyDescent="0.45">
      <c r="A25" t="s">
        <v>41</v>
      </c>
      <c r="B25" t="s">
        <v>7</v>
      </c>
      <c r="C25" t="s">
        <v>42</v>
      </c>
      <c r="D25" t="s">
        <v>3</v>
      </c>
      <c r="E25" t="s">
        <v>4</v>
      </c>
      <c r="F25" t="s">
        <v>5</v>
      </c>
      <c r="G25">
        <v>2007</v>
      </c>
      <c r="H25">
        <v>43330.3</v>
      </c>
      <c r="I25">
        <v>16316.4</v>
      </c>
      <c r="J25">
        <v>27027.9</v>
      </c>
      <c r="K25">
        <v>9618.2000000000007</v>
      </c>
      <c r="L25">
        <v>22.197399969999999</v>
      </c>
      <c r="M25">
        <v>33712.1</v>
      </c>
      <c r="N25">
        <v>77.802600029999994</v>
      </c>
    </row>
    <row r="26" spans="1:14" x14ac:dyDescent="0.45">
      <c r="A26" t="s">
        <v>43</v>
      </c>
      <c r="B26" t="s">
        <v>7</v>
      </c>
      <c r="C26" t="s">
        <v>8</v>
      </c>
      <c r="D26" t="s">
        <v>3</v>
      </c>
      <c r="E26" t="s">
        <v>44</v>
      </c>
      <c r="F26" t="s">
        <v>5</v>
      </c>
      <c r="G26">
        <v>2010</v>
      </c>
      <c r="H26">
        <v>42464.1</v>
      </c>
      <c r="I26">
        <v>38477.300000000003</v>
      </c>
      <c r="J26">
        <v>3986.8</v>
      </c>
      <c r="K26">
        <v>34578.400000000001</v>
      </c>
      <c r="L26">
        <v>81.429725340000005</v>
      </c>
      <c r="M26">
        <v>7885.7</v>
      </c>
      <c r="N26">
        <v>18.570274659999999</v>
      </c>
    </row>
    <row r="27" spans="1:14" x14ac:dyDescent="0.45">
      <c r="A27" t="s">
        <v>45</v>
      </c>
      <c r="B27" t="s">
        <v>1</v>
      </c>
      <c r="C27" t="s">
        <v>46</v>
      </c>
      <c r="D27" t="s">
        <v>3</v>
      </c>
      <c r="E27" t="s">
        <v>47</v>
      </c>
      <c r="F27" t="s">
        <v>5</v>
      </c>
      <c r="G27">
        <v>1990</v>
      </c>
      <c r="H27">
        <v>42059.5</v>
      </c>
      <c r="I27">
        <v>30750.799999999999</v>
      </c>
      <c r="J27">
        <v>11325.3</v>
      </c>
      <c r="K27">
        <v>406.8</v>
      </c>
      <c r="L27">
        <v>0.96720122679999998</v>
      </c>
      <c r="M27">
        <v>41652.699999999997</v>
      </c>
      <c r="N27">
        <v>99.032798769999999</v>
      </c>
    </row>
    <row r="28" spans="1:14" x14ac:dyDescent="0.45">
      <c r="A28" t="s">
        <v>49</v>
      </c>
      <c r="B28" t="s">
        <v>1</v>
      </c>
      <c r="C28" t="s">
        <v>8</v>
      </c>
      <c r="D28" t="s">
        <v>11</v>
      </c>
      <c r="E28" t="s">
        <v>12</v>
      </c>
      <c r="F28" t="s">
        <v>5</v>
      </c>
      <c r="G28">
        <v>1991</v>
      </c>
      <c r="H28">
        <v>41405.4</v>
      </c>
      <c r="I28">
        <v>19772.099999999999</v>
      </c>
      <c r="J28">
        <v>21650</v>
      </c>
      <c r="K28">
        <v>10692.8</v>
      </c>
      <c r="L28">
        <v>25.824650890000001</v>
      </c>
      <c r="M28">
        <v>30712.6</v>
      </c>
      <c r="N28">
        <v>74.175349109999999</v>
      </c>
    </row>
    <row r="29" spans="1:14" x14ac:dyDescent="0.45">
      <c r="A29" t="s">
        <v>50</v>
      </c>
      <c r="B29" t="s">
        <v>1</v>
      </c>
      <c r="C29" t="s">
        <v>8</v>
      </c>
      <c r="D29" t="s">
        <v>11</v>
      </c>
      <c r="E29" t="s">
        <v>12</v>
      </c>
      <c r="F29" t="s">
        <v>5</v>
      </c>
      <c r="G29">
        <v>2014</v>
      </c>
      <c r="H29">
        <v>40738.6</v>
      </c>
      <c r="I29">
        <v>24898</v>
      </c>
      <c r="J29">
        <v>15857.7</v>
      </c>
      <c r="K29">
        <v>10432.5</v>
      </c>
      <c r="L29">
        <v>25.608391059999999</v>
      </c>
      <c r="M29">
        <v>30306.1</v>
      </c>
      <c r="N29">
        <v>74.391608939999998</v>
      </c>
    </row>
    <row r="30" spans="1:14" x14ac:dyDescent="0.45">
      <c r="A30" t="s">
        <v>51</v>
      </c>
      <c r="B30" t="s">
        <v>1</v>
      </c>
      <c r="C30" t="s">
        <v>8</v>
      </c>
      <c r="D30" t="s">
        <v>11</v>
      </c>
      <c r="E30" t="s">
        <v>12</v>
      </c>
      <c r="F30" t="s">
        <v>5</v>
      </c>
      <c r="G30">
        <v>2011</v>
      </c>
      <c r="H30">
        <v>40453.300000000003</v>
      </c>
      <c r="I30">
        <v>18355.599999999999</v>
      </c>
      <c r="J30">
        <v>22118.9</v>
      </c>
      <c r="K30">
        <v>6177</v>
      </c>
      <c r="L30">
        <v>15.26945886</v>
      </c>
      <c r="M30">
        <v>34276.300000000003</v>
      </c>
      <c r="N30">
        <v>84.73054114</v>
      </c>
    </row>
    <row r="31" spans="1:14" x14ac:dyDescent="0.45">
      <c r="A31" t="s">
        <v>52</v>
      </c>
      <c r="B31" t="s">
        <v>1</v>
      </c>
      <c r="C31" t="s">
        <v>8</v>
      </c>
      <c r="D31" t="s">
        <v>3</v>
      </c>
      <c r="E31" t="s">
        <v>4</v>
      </c>
      <c r="F31" t="s">
        <v>5</v>
      </c>
      <c r="G31">
        <v>2013</v>
      </c>
      <c r="H31">
        <v>40411.300000000003</v>
      </c>
      <c r="I31">
        <v>34419.9</v>
      </c>
      <c r="J31">
        <v>5998.9</v>
      </c>
      <c r="K31">
        <v>28138.400000000001</v>
      </c>
      <c r="L31">
        <v>69.630029219999997</v>
      </c>
      <c r="M31">
        <v>12272.9</v>
      </c>
      <c r="N31">
        <v>30.369970779999999</v>
      </c>
    </row>
    <row r="32" spans="1:14" x14ac:dyDescent="0.45">
      <c r="A32" t="s">
        <v>53</v>
      </c>
      <c r="B32" t="s">
        <v>1</v>
      </c>
      <c r="C32" t="s">
        <v>8</v>
      </c>
      <c r="D32" t="s">
        <v>3</v>
      </c>
      <c r="E32" t="s">
        <v>38</v>
      </c>
      <c r="F32" t="s">
        <v>35</v>
      </c>
      <c r="G32">
        <v>2012</v>
      </c>
      <c r="H32">
        <v>40279.5</v>
      </c>
      <c r="I32">
        <v>38006.699999999997</v>
      </c>
      <c r="J32">
        <v>2283.1999999999998</v>
      </c>
      <c r="K32">
        <v>33880.400000000001</v>
      </c>
      <c r="L32">
        <v>84.113258610000003</v>
      </c>
      <c r="M32">
        <v>6399.1</v>
      </c>
      <c r="N32">
        <v>15.886741389999999</v>
      </c>
    </row>
    <row r="33" spans="1:14" x14ac:dyDescent="0.45">
      <c r="A33" t="s">
        <v>54</v>
      </c>
      <c r="B33" t="s">
        <v>1</v>
      </c>
      <c r="C33" t="s">
        <v>8</v>
      </c>
      <c r="D33" t="s">
        <v>3</v>
      </c>
      <c r="E33" t="s">
        <v>4</v>
      </c>
      <c r="F33" t="s">
        <v>5</v>
      </c>
      <c r="G33">
        <v>1997</v>
      </c>
      <c r="H33">
        <v>40148.199999999997</v>
      </c>
      <c r="I33">
        <v>15870.4</v>
      </c>
      <c r="J33">
        <v>24279.9</v>
      </c>
      <c r="K33">
        <v>4050.9</v>
      </c>
      <c r="L33">
        <v>10.08986704</v>
      </c>
      <c r="M33">
        <v>36097.300000000003</v>
      </c>
      <c r="N33">
        <v>89.910132959999999</v>
      </c>
    </row>
    <row r="34" spans="1:14" x14ac:dyDescent="0.45">
      <c r="A34" t="s">
        <v>55</v>
      </c>
      <c r="B34" t="s">
        <v>1</v>
      </c>
      <c r="C34" t="s">
        <v>20</v>
      </c>
      <c r="D34" t="s">
        <v>3</v>
      </c>
      <c r="E34" t="s">
        <v>4</v>
      </c>
      <c r="F34" t="s">
        <v>5</v>
      </c>
      <c r="G34">
        <v>2014</v>
      </c>
      <c r="H34">
        <v>39024.300000000003</v>
      </c>
      <c r="I34">
        <v>15878</v>
      </c>
      <c r="J34">
        <v>23155.599999999999</v>
      </c>
      <c r="K34">
        <v>7883.1</v>
      </c>
      <c r="L34">
        <v>20.200490460000001</v>
      </c>
      <c r="M34">
        <v>31141.200000000001</v>
      </c>
      <c r="N34">
        <v>79.799509540000003</v>
      </c>
    </row>
    <row r="35" spans="1:14" x14ac:dyDescent="0.45">
      <c r="A35" t="s">
        <v>56</v>
      </c>
      <c r="B35" t="s">
        <v>7</v>
      </c>
      <c r="C35" t="s">
        <v>8</v>
      </c>
      <c r="D35" t="s">
        <v>3</v>
      </c>
      <c r="E35" t="s">
        <v>14</v>
      </c>
      <c r="F35" t="s">
        <v>5</v>
      </c>
      <c r="G35">
        <v>2012</v>
      </c>
      <c r="H35">
        <v>38879.599999999999</v>
      </c>
      <c r="I35">
        <v>25267.5</v>
      </c>
      <c r="J35">
        <v>13627.2</v>
      </c>
      <c r="K35">
        <v>19804.599999999999</v>
      </c>
      <c r="L35">
        <v>50.938281259999997</v>
      </c>
      <c r="M35">
        <v>19075</v>
      </c>
      <c r="N35">
        <v>49.061718740000003</v>
      </c>
    </row>
    <row r="36" spans="1:14" x14ac:dyDescent="0.45">
      <c r="A36" t="s">
        <v>57</v>
      </c>
      <c r="B36" t="s">
        <v>1</v>
      </c>
      <c r="C36" t="s">
        <v>58</v>
      </c>
      <c r="D36" t="s">
        <v>59</v>
      </c>
      <c r="E36" t="s">
        <v>60</v>
      </c>
      <c r="F36" t="s">
        <v>5</v>
      </c>
      <c r="G36">
        <v>2011</v>
      </c>
      <c r="H36">
        <v>37687.800000000003</v>
      </c>
      <c r="I36">
        <v>13330.4</v>
      </c>
      <c r="J36">
        <v>24384.799999999999</v>
      </c>
      <c r="K36">
        <v>4537.3999999999996</v>
      </c>
      <c r="L36">
        <v>12.03943982</v>
      </c>
      <c r="M36">
        <v>33150.400000000001</v>
      </c>
      <c r="N36">
        <v>87.960560180000002</v>
      </c>
    </row>
    <row r="37" spans="1:14" x14ac:dyDescent="0.45">
      <c r="A37" t="s">
        <v>61</v>
      </c>
      <c r="B37" t="s">
        <v>7</v>
      </c>
      <c r="C37" t="s">
        <v>8</v>
      </c>
      <c r="D37" t="s">
        <v>3</v>
      </c>
      <c r="E37" t="s">
        <v>9</v>
      </c>
      <c r="F37" t="s">
        <v>5</v>
      </c>
      <c r="G37">
        <v>2008</v>
      </c>
      <c r="H37">
        <v>37565.4</v>
      </c>
      <c r="I37">
        <v>37009.699999999997</v>
      </c>
      <c r="J37">
        <v>572</v>
      </c>
      <c r="K37">
        <v>23546.2</v>
      </c>
      <c r="L37">
        <v>62.680551780000002</v>
      </c>
      <c r="M37">
        <v>14019.2</v>
      </c>
      <c r="N37">
        <v>37.319448219999998</v>
      </c>
    </row>
    <row r="38" spans="1:14" x14ac:dyDescent="0.45">
      <c r="A38" t="s">
        <v>62</v>
      </c>
      <c r="B38" t="s">
        <v>7</v>
      </c>
      <c r="C38" t="s">
        <v>29</v>
      </c>
      <c r="D38" t="s">
        <v>11</v>
      </c>
      <c r="E38" t="s">
        <v>12</v>
      </c>
      <c r="F38" t="s">
        <v>5</v>
      </c>
      <c r="G38">
        <v>2007</v>
      </c>
      <c r="H38">
        <v>37549.699999999997</v>
      </c>
      <c r="I38">
        <v>29603.8</v>
      </c>
      <c r="J38">
        <v>7961.5</v>
      </c>
      <c r="K38">
        <v>14790.4</v>
      </c>
      <c r="L38">
        <v>39.388863290000003</v>
      </c>
      <c r="M38">
        <v>22759.3</v>
      </c>
      <c r="N38">
        <v>60.611136709999997</v>
      </c>
    </row>
    <row r="39" spans="1:14" x14ac:dyDescent="0.45">
      <c r="A39" t="s">
        <v>63</v>
      </c>
      <c r="B39" t="s">
        <v>1</v>
      </c>
      <c r="C39" t="s">
        <v>8</v>
      </c>
      <c r="D39" t="s">
        <v>3</v>
      </c>
      <c r="E39" t="s">
        <v>4</v>
      </c>
      <c r="F39" t="s">
        <v>5</v>
      </c>
      <c r="G39">
        <v>2017</v>
      </c>
      <c r="H39">
        <v>35931.9</v>
      </c>
      <c r="I39">
        <v>18773.5</v>
      </c>
      <c r="J39">
        <v>17171.5</v>
      </c>
      <c r="K39">
        <v>8928.7999999999993</v>
      </c>
      <c r="L39">
        <v>24.84922868</v>
      </c>
      <c r="M39">
        <v>27003.1</v>
      </c>
      <c r="N39">
        <v>75.150771320000004</v>
      </c>
    </row>
    <row r="40" spans="1:14" x14ac:dyDescent="0.45">
      <c r="A40" t="s">
        <v>64</v>
      </c>
      <c r="B40" t="s">
        <v>65</v>
      </c>
      <c r="C40" t="s">
        <v>8</v>
      </c>
      <c r="D40" t="s">
        <v>3</v>
      </c>
      <c r="E40" t="s">
        <v>9</v>
      </c>
      <c r="F40" t="s">
        <v>35</v>
      </c>
      <c r="G40">
        <v>2002</v>
      </c>
      <c r="H40">
        <v>35794.1</v>
      </c>
      <c r="I40">
        <v>35585.800000000003</v>
      </c>
      <c r="J40">
        <v>222.6</v>
      </c>
      <c r="K40">
        <v>23312.5</v>
      </c>
      <c r="L40">
        <v>65.129448710000005</v>
      </c>
      <c r="M40">
        <v>12481.6</v>
      </c>
      <c r="N40">
        <v>34.870551290000002</v>
      </c>
    </row>
    <row r="41" spans="1:14" x14ac:dyDescent="0.45">
      <c r="A41" t="s">
        <v>66</v>
      </c>
      <c r="B41" t="s">
        <v>1</v>
      </c>
      <c r="C41" t="s">
        <v>8</v>
      </c>
      <c r="D41" t="s">
        <v>3</v>
      </c>
      <c r="E41" t="s">
        <v>14</v>
      </c>
      <c r="F41" t="s">
        <v>5</v>
      </c>
      <c r="G41">
        <v>2016</v>
      </c>
      <c r="H41">
        <v>35727.199999999997</v>
      </c>
      <c r="I41">
        <v>18499.900000000001</v>
      </c>
      <c r="J41">
        <v>17234.400000000001</v>
      </c>
      <c r="K41">
        <v>12520.6</v>
      </c>
      <c r="L41">
        <v>35.045007730000002</v>
      </c>
      <c r="M41">
        <v>23206.6</v>
      </c>
      <c r="N41">
        <v>64.954992270000005</v>
      </c>
    </row>
    <row r="42" spans="1:14" x14ac:dyDescent="0.45">
      <c r="A42" t="s">
        <v>67</v>
      </c>
      <c r="B42" t="s">
        <v>7</v>
      </c>
      <c r="C42" t="s">
        <v>8</v>
      </c>
      <c r="D42" t="s">
        <v>3</v>
      </c>
      <c r="E42" t="s">
        <v>9</v>
      </c>
      <c r="F42" t="s">
        <v>5</v>
      </c>
      <c r="G42">
        <v>2003</v>
      </c>
      <c r="H42">
        <v>34975.199999999997</v>
      </c>
      <c r="I42">
        <v>29662.799999999999</v>
      </c>
      <c r="J42">
        <v>5325.3</v>
      </c>
      <c r="K42">
        <v>21863.9</v>
      </c>
      <c r="L42">
        <v>62.51258034</v>
      </c>
      <c r="M42">
        <v>13111.3</v>
      </c>
      <c r="N42">
        <v>37.48741966</v>
      </c>
    </row>
    <row r="43" spans="1:14" x14ac:dyDescent="0.45">
      <c r="A43" t="s">
        <v>68</v>
      </c>
      <c r="B43" t="s">
        <v>1</v>
      </c>
      <c r="C43" t="s">
        <v>29</v>
      </c>
      <c r="D43" t="s">
        <v>11</v>
      </c>
      <c r="E43" t="s">
        <v>69</v>
      </c>
      <c r="F43" t="s">
        <v>5</v>
      </c>
      <c r="G43">
        <v>2010</v>
      </c>
      <c r="H43">
        <v>34841</v>
      </c>
      <c r="I43">
        <v>19449.8</v>
      </c>
      <c r="J43">
        <v>15404.7</v>
      </c>
      <c r="K43">
        <v>11616.3</v>
      </c>
      <c r="L43">
        <v>33.340891480000003</v>
      </c>
      <c r="M43">
        <v>23224.7</v>
      </c>
      <c r="N43">
        <v>66.659108520000004</v>
      </c>
    </row>
    <row r="44" spans="1:14" x14ac:dyDescent="0.45">
      <c r="A44" t="s">
        <v>70</v>
      </c>
      <c r="B44" t="s">
        <v>1</v>
      </c>
      <c r="C44" t="s">
        <v>29</v>
      </c>
      <c r="D44" t="s">
        <v>11</v>
      </c>
      <c r="E44" t="s">
        <v>12</v>
      </c>
      <c r="F44" t="s">
        <v>5</v>
      </c>
      <c r="G44">
        <v>2015</v>
      </c>
      <c r="H44">
        <v>34579.1</v>
      </c>
      <c r="I44">
        <v>18725.599999999999</v>
      </c>
      <c r="J44">
        <v>15774.1</v>
      </c>
      <c r="K44">
        <v>9877.2999999999993</v>
      </c>
      <c r="L44">
        <v>28.564364019999999</v>
      </c>
      <c r="M44">
        <v>24701.8</v>
      </c>
      <c r="N44">
        <v>71.435635980000001</v>
      </c>
    </row>
    <row r="45" spans="1:14" x14ac:dyDescent="0.45">
      <c r="A45" t="s">
        <v>71</v>
      </c>
      <c r="B45" t="s">
        <v>1</v>
      </c>
      <c r="C45" t="s">
        <v>72</v>
      </c>
      <c r="D45" t="s">
        <v>3</v>
      </c>
      <c r="E45" t="s">
        <v>47</v>
      </c>
      <c r="F45" t="s">
        <v>5</v>
      </c>
      <c r="G45">
        <v>2007</v>
      </c>
      <c r="H45">
        <v>34129.699999999997</v>
      </c>
      <c r="I45">
        <v>31846</v>
      </c>
      <c r="J45">
        <v>2298.3000000000002</v>
      </c>
      <c r="K45">
        <v>5998.8</v>
      </c>
      <c r="L45">
        <v>17.576480310000001</v>
      </c>
      <c r="M45">
        <v>28130.9</v>
      </c>
      <c r="N45">
        <v>82.423519690000006</v>
      </c>
    </row>
    <row r="46" spans="1:14" x14ac:dyDescent="0.45">
      <c r="A46" t="s">
        <v>73</v>
      </c>
      <c r="B46" t="s">
        <v>1</v>
      </c>
      <c r="C46" t="s">
        <v>8</v>
      </c>
      <c r="D46" t="s">
        <v>11</v>
      </c>
      <c r="E46" t="s">
        <v>12</v>
      </c>
      <c r="F46" t="s">
        <v>5</v>
      </c>
      <c r="G46">
        <v>2016</v>
      </c>
      <c r="H46">
        <v>33620.699999999997</v>
      </c>
      <c r="I46">
        <v>14022.5</v>
      </c>
      <c r="J46">
        <v>19614.7</v>
      </c>
      <c r="K46">
        <v>9406.6</v>
      </c>
      <c r="L46">
        <v>27.97859652</v>
      </c>
      <c r="M46">
        <v>24214.1</v>
      </c>
      <c r="N46">
        <v>72.021403480000004</v>
      </c>
    </row>
    <row r="47" spans="1:14" x14ac:dyDescent="0.45">
      <c r="A47" t="s">
        <v>74</v>
      </c>
      <c r="B47" t="s">
        <v>65</v>
      </c>
      <c r="C47" t="s">
        <v>8</v>
      </c>
      <c r="D47" t="s">
        <v>3</v>
      </c>
      <c r="E47" t="s">
        <v>38</v>
      </c>
      <c r="F47" t="s">
        <v>35</v>
      </c>
      <c r="G47">
        <v>2000</v>
      </c>
      <c r="H47">
        <v>33224.699999999997</v>
      </c>
      <c r="I47">
        <v>31426.6</v>
      </c>
      <c r="J47">
        <v>1798.1</v>
      </c>
      <c r="K47">
        <v>30151.200000000001</v>
      </c>
      <c r="L47">
        <v>90.749352139999999</v>
      </c>
      <c r="M47">
        <v>3073.5</v>
      </c>
      <c r="N47">
        <v>9.2506478609999991</v>
      </c>
    </row>
    <row r="48" spans="1:14" x14ac:dyDescent="0.45">
      <c r="A48" t="s">
        <v>75</v>
      </c>
      <c r="B48" t="s">
        <v>1</v>
      </c>
      <c r="C48" t="s">
        <v>76</v>
      </c>
      <c r="D48" t="s">
        <v>11</v>
      </c>
      <c r="E48" t="s">
        <v>77</v>
      </c>
      <c r="F48" t="s">
        <v>5</v>
      </c>
      <c r="G48">
        <v>2020</v>
      </c>
      <c r="H48">
        <v>33179.800000000003</v>
      </c>
      <c r="I48">
        <v>18699.099999999999</v>
      </c>
      <c r="J48">
        <v>14501.2</v>
      </c>
      <c r="K48">
        <v>3938.3</v>
      </c>
      <c r="L48">
        <v>11.86957125</v>
      </c>
      <c r="M48">
        <v>29241.5</v>
      </c>
      <c r="N48">
        <v>88.130428749999993</v>
      </c>
    </row>
    <row r="49" spans="1:14" x14ac:dyDescent="0.45">
      <c r="A49" t="s">
        <v>78</v>
      </c>
      <c r="B49" t="s">
        <v>1</v>
      </c>
      <c r="C49" t="s">
        <v>8</v>
      </c>
      <c r="D49" t="s">
        <v>3</v>
      </c>
      <c r="E49" t="s">
        <v>4</v>
      </c>
      <c r="F49" t="s">
        <v>5</v>
      </c>
      <c r="G49">
        <v>2007</v>
      </c>
      <c r="H49">
        <v>32200.9</v>
      </c>
      <c r="I49">
        <v>24334.7</v>
      </c>
      <c r="J49">
        <v>7876.1</v>
      </c>
      <c r="K49">
        <v>18999.5</v>
      </c>
      <c r="L49">
        <v>59.003009230000004</v>
      </c>
      <c r="M49">
        <v>13201.4</v>
      </c>
      <c r="N49">
        <v>40.996990769999996</v>
      </c>
    </row>
    <row r="50" spans="1:14" x14ac:dyDescent="0.45">
      <c r="A50" t="s">
        <v>79</v>
      </c>
      <c r="B50" t="s">
        <v>1</v>
      </c>
      <c r="C50" t="s">
        <v>8</v>
      </c>
      <c r="D50" t="s">
        <v>3</v>
      </c>
      <c r="E50" t="s">
        <v>4</v>
      </c>
      <c r="F50" t="s">
        <v>5</v>
      </c>
      <c r="G50">
        <v>2014</v>
      </c>
      <c r="H50">
        <v>32115.9</v>
      </c>
      <c r="I50">
        <v>21117.5</v>
      </c>
      <c r="J50">
        <v>11006.6</v>
      </c>
      <c r="K50">
        <v>16803.2</v>
      </c>
      <c r="L50">
        <v>52.32050168</v>
      </c>
      <c r="M50">
        <v>15312.7</v>
      </c>
      <c r="N50">
        <v>47.67949832</v>
      </c>
    </row>
    <row r="51" spans="1:14" x14ac:dyDescent="0.45">
      <c r="A51" t="s">
        <v>80</v>
      </c>
      <c r="B51" t="s">
        <v>7</v>
      </c>
      <c r="C51" t="s">
        <v>81</v>
      </c>
      <c r="D51" t="s">
        <v>3</v>
      </c>
      <c r="E51" t="s">
        <v>9</v>
      </c>
      <c r="F51" t="s">
        <v>5</v>
      </c>
      <c r="G51">
        <v>1997</v>
      </c>
      <c r="H51">
        <v>31642.1</v>
      </c>
      <c r="I51">
        <v>21063.200000000001</v>
      </c>
      <c r="J51">
        <v>10588.2</v>
      </c>
      <c r="K51">
        <v>15741.1</v>
      </c>
      <c r="L51">
        <v>49.747330300000002</v>
      </c>
      <c r="M51">
        <v>15901</v>
      </c>
      <c r="N51">
        <v>50.252669699999998</v>
      </c>
    </row>
    <row r="52" spans="1:14" x14ac:dyDescent="0.45">
      <c r="A52" t="s">
        <v>82</v>
      </c>
      <c r="B52" t="s">
        <v>7</v>
      </c>
      <c r="C52" t="s">
        <v>8</v>
      </c>
      <c r="D52" t="s">
        <v>3</v>
      </c>
      <c r="E52" t="s">
        <v>9</v>
      </c>
      <c r="F52" t="s">
        <v>5</v>
      </c>
      <c r="G52">
        <v>2012</v>
      </c>
      <c r="H52">
        <v>31214.3</v>
      </c>
      <c r="I52">
        <v>25574.2</v>
      </c>
      <c r="J52">
        <v>5650.9</v>
      </c>
      <c r="K52">
        <v>18797.099999999999</v>
      </c>
      <c r="L52">
        <v>60.219514770000004</v>
      </c>
      <c r="M52">
        <v>12417.2</v>
      </c>
      <c r="N52">
        <v>39.780485229999996</v>
      </c>
    </row>
    <row r="53" spans="1:14" x14ac:dyDescent="0.45">
      <c r="A53" t="s">
        <v>83</v>
      </c>
      <c r="B53" t="s">
        <v>7</v>
      </c>
      <c r="C53" t="s">
        <v>29</v>
      </c>
      <c r="D53" t="s">
        <v>11</v>
      </c>
      <c r="E53" t="s">
        <v>69</v>
      </c>
      <c r="F53" t="s">
        <v>5</v>
      </c>
      <c r="G53">
        <v>1991</v>
      </c>
      <c r="H53">
        <v>31212.400000000001</v>
      </c>
      <c r="I53">
        <v>24041</v>
      </c>
      <c r="J53">
        <v>7171.5</v>
      </c>
      <c r="K53">
        <v>11661.1</v>
      </c>
      <c r="L53">
        <v>37.360472119999997</v>
      </c>
      <c r="M53">
        <v>19551.3</v>
      </c>
      <c r="N53">
        <v>62.639527880000003</v>
      </c>
    </row>
    <row r="54" spans="1:14" x14ac:dyDescent="0.45">
      <c r="A54" t="s">
        <v>84</v>
      </c>
      <c r="B54" t="s">
        <v>1</v>
      </c>
      <c r="C54" t="s">
        <v>8</v>
      </c>
      <c r="D54" t="s">
        <v>3</v>
      </c>
      <c r="E54" t="s">
        <v>85</v>
      </c>
      <c r="F54" t="s">
        <v>5</v>
      </c>
      <c r="G54">
        <v>2014</v>
      </c>
      <c r="H54">
        <v>31171.1</v>
      </c>
      <c r="I54">
        <v>26589.9</v>
      </c>
      <c r="J54">
        <v>4600.3999999999996</v>
      </c>
      <c r="K54">
        <v>23825.8</v>
      </c>
      <c r="L54">
        <v>76.435544460000003</v>
      </c>
      <c r="M54">
        <v>7345.3</v>
      </c>
      <c r="N54">
        <v>23.564455540000001</v>
      </c>
    </row>
    <row r="55" spans="1:14" x14ac:dyDescent="0.45">
      <c r="A55" t="s">
        <v>86</v>
      </c>
      <c r="B55" t="s">
        <v>1</v>
      </c>
      <c r="C55" t="s">
        <v>8</v>
      </c>
      <c r="D55" t="s">
        <v>3</v>
      </c>
      <c r="E55" t="s">
        <v>4</v>
      </c>
      <c r="F55" t="s">
        <v>5</v>
      </c>
      <c r="G55">
        <v>2011</v>
      </c>
      <c r="H55">
        <v>30933.8</v>
      </c>
      <c r="I55">
        <v>10464.200000000001</v>
      </c>
      <c r="J55">
        <v>20472.3</v>
      </c>
      <c r="K55">
        <v>2792.1</v>
      </c>
      <c r="L55">
        <v>9.0260491760000008</v>
      </c>
      <c r="M55">
        <v>28141.7</v>
      </c>
      <c r="N55">
        <v>90.973950819999999</v>
      </c>
    </row>
    <row r="56" spans="1:14" x14ac:dyDescent="0.45">
      <c r="A56" t="s">
        <v>87</v>
      </c>
      <c r="B56" t="s">
        <v>1</v>
      </c>
      <c r="C56" t="s">
        <v>8</v>
      </c>
      <c r="D56" t="s">
        <v>11</v>
      </c>
      <c r="E56" t="s">
        <v>12</v>
      </c>
      <c r="F56" t="s">
        <v>5</v>
      </c>
      <c r="G56">
        <v>2009</v>
      </c>
      <c r="H56">
        <v>29775.3</v>
      </c>
      <c r="I56">
        <v>8548.7000000000007</v>
      </c>
      <c r="J56">
        <v>21237.200000000001</v>
      </c>
      <c r="K56">
        <v>4615.8999999999996</v>
      </c>
      <c r="L56">
        <v>15.50244666</v>
      </c>
      <c r="M56">
        <v>25159.4</v>
      </c>
      <c r="N56">
        <v>84.497553339999996</v>
      </c>
    </row>
    <row r="57" spans="1:14" x14ac:dyDescent="0.45">
      <c r="A57" t="s">
        <v>88</v>
      </c>
      <c r="B57" t="s">
        <v>1</v>
      </c>
      <c r="C57" t="s">
        <v>2</v>
      </c>
      <c r="D57" t="s">
        <v>3</v>
      </c>
      <c r="E57" t="s">
        <v>9</v>
      </c>
      <c r="F57" t="s">
        <v>5</v>
      </c>
      <c r="G57">
        <v>2014</v>
      </c>
      <c r="H57">
        <v>29471.1</v>
      </c>
      <c r="I57">
        <v>28781</v>
      </c>
      <c r="J57">
        <v>699</v>
      </c>
      <c r="K57">
        <v>22074.9</v>
      </c>
      <c r="L57">
        <v>74.903549580000004</v>
      </c>
      <c r="M57">
        <v>7396.2</v>
      </c>
      <c r="N57">
        <v>25.09645042</v>
      </c>
    </row>
    <row r="58" spans="1:14" x14ac:dyDescent="0.45">
      <c r="A58" t="s">
        <v>89</v>
      </c>
      <c r="B58" t="s">
        <v>1</v>
      </c>
      <c r="C58" t="s">
        <v>20</v>
      </c>
      <c r="D58" t="s">
        <v>3</v>
      </c>
      <c r="E58" t="s">
        <v>9</v>
      </c>
      <c r="F58" t="s">
        <v>5</v>
      </c>
      <c r="G58">
        <v>2010</v>
      </c>
      <c r="H58">
        <v>29449</v>
      </c>
      <c r="I58">
        <v>29462.799999999999</v>
      </c>
      <c r="J58">
        <v>0</v>
      </c>
      <c r="K58">
        <v>29449</v>
      </c>
      <c r="L58">
        <v>100</v>
      </c>
      <c r="M58">
        <v>0</v>
      </c>
      <c r="N58">
        <v>0</v>
      </c>
    </row>
    <row r="59" spans="1:14" x14ac:dyDescent="0.45">
      <c r="A59" t="s">
        <v>90</v>
      </c>
      <c r="B59" t="s">
        <v>1</v>
      </c>
      <c r="C59" t="s">
        <v>20</v>
      </c>
      <c r="D59" t="s">
        <v>3</v>
      </c>
      <c r="E59" t="s">
        <v>38</v>
      </c>
      <c r="F59" t="s">
        <v>35</v>
      </c>
      <c r="G59">
        <v>1973</v>
      </c>
      <c r="H59">
        <v>29370</v>
      </c>
      <c r="I59">
        <v>29307.599999999999</v>
      </c>
      <c r="J59">
        <v>70.8</v>
      </c>
      <c r="K59">
        <v>26931.7</v>
      </c>
      <c r="L59">
        <v>91.697991149999993</v>
      </c>
      <c r="M59">
        <v>2438.3000000000002</v>
      </c>
      <c r="N59">
        <v>8.3020088530000002</v>
      </c>
    </row>
    <row r="60" spans="1:14" x14ac:dyDescent="0.45">
      <c r="A60" t="s">
        <v>91</v>
      </c>
      <c r="B60" t="s">
        <v>1</v>
      </c>
      <c r="C60" t="s">
        <v>20</v>
      </c>
      <c r="D60" t="s">
        <v>3</v>
      </c>
      <c r="E60" t="s">
        <v>9</v>
      </c>
      <c r="F60" t="s">
        <v>5</v>
      </c>
      <c r="G60">
        <v>2012</v>
      </c>
      <c r="H60">
        <v>29197.200000000001</v>
      </c>
      <c r="I60">
        <v>24125.8</v>
      </c>
      <c r="J60">
        <v>5078.3</v>
      </c>
      <c r="K60">
        <v>17995.2</v>
      </c>
      <c r="L60">
        <v>61.633307299999998</v>
      </c>
      <c r="M60">
        <v>11202</v>
      </c>
      <c r="N60">
        <v>38.366692700000002</v>
      </c>
    </row>
    <row r="61" spans="1:14" x14ac:dyDescent="0.45">
      <c r="A61" t="s">
        <v>92</v>
      </c>
      <c r="B61" t="s">
        <v>65</v>
      </c>
      <c r="C61" t="s">
        <v>20</v>
      </c>
      <c r="D61" t="s">
        <v>3</v>
      </c>
      <c r="E61" t="s">
        <v>9</v>
      </c>
      <c r="F61" t="s">
        <v>35</v>
      </c>
      <c r="G61">
        <v>2011</v>
      </c>
      <c r="H61">
        <v>28889.5</v>
      </c>
      <c r="I61">
        <v>28898.2</v>
      </c>
      <c r="J61">
        <v>0</v>
      </c>
      <c r="K61">
        <v>28801.9</v>
      </c>
      <c r="L61">
        <v>99.696775650000006</v>
      </c>
      <c r="M61">
        <v>87.6</v>
      </c>
      <c r="N61">
        <v>0.30322435489999999</v>
      </c>
    </row>
    <row r="62" spans="1:14" x14ac:dyDescent="0.45">
      <c r="A62" t="s">
        <v>93</v>
      </c>
      <c r="B62" t="s">
        <v>1</v>
      </c>
      <c r="C62" t="s">
        <v>8</v>
      </c>
      <c r="D62" t="s">
        <v>3</v>
      </c>
      <c r="E62" t="s">
        <v>4</v>
      </c>
      <c r="F62" t="s">
        <v>5</v>
      </c>
      <c r="G62">
        <v>2013</v>
      </c>
      <c r="H62">
        <v>28848.7</v>
      </c>
      <c r="I62">
        <v>13945.2</v>
      </c>
      <c r="J62">
        <v>14911.9</v>
      </c>
      <c r="K62">
        <v>119.7</v>
      </c>
      <c r="L62">
        <v>0.41492337610000002</v>
      </c>
      <c r="M62">
        <v>28729</v>
      </c>
      <c r="N62">
        <v>99.585076619999995</v>
      </c>
    </row>
    <row r="63" spans="1:14" x14ac:dyDescent="0.45">
      <c r="A63" t="s">
        <v>94</v>
      </c>
      <c r="B63" t="s">
        <v>7</v>
      </c>
      <c r="C63" t="s">
        <v>8</v>
      </c>
      <c r="D63" t="s">
        <v>3</v>
      </c>
      <c r="E63" t="s">
        <v>9</v>
      </c>
      <c r="F63" t="s">
        <v>5</v>
      </c>
      <c r="G63">
        <v>2021</v>
      </c>
      <c r="H63">
        <v>28799.7</v>
      </c>
      <c r="I63">
        <v>28797.599999999999</v>
      </c>
      <c r="J63">
        <v>2.2000000000000002</v>
      </c>
      <c r="K63">
        <v>26750.5</v>
      </c>
      <c r="L63">
        <v>92.884648100000007</v>
      </c>
      <c r="M63">
        <v>2049.1999999999998</v>
      </c>
      <c r="N63">
        <v>7.115351896</v>
      </c>
    </row>
    <row r="64" spans="1:14" x14ac:dyDescent="0.45">
      <c r="A64" t="s">
        <v>95</v>
      </c>
      <c r="B64" t="s">
        <v>7</v>
      </c>
      <c r="C64" t="s">
        <v>20</v>
      </c>
      <c r="D64" t="s">
        <v>3</v>
      </c>
      <c r="E64" t="s">
        <v>9</v>
      </c>
      <c r="F64" t="s">
        <v>5</v>
      </c>
      <c r="G64">
        <v>2008</v>
      </c>
      <c r="H64">
        <v>28690.5</v>
      </c>
      <c r="I64">
        <v>28699.5</v>
      </c>
      <c r="J64">
        <v>0</v>
      </c>
      <c r="K64">
        <v>28537.7</v>
      </c>
      <c r="L64">
        <v>99.467419530000001</v>
      </c>
      <c r="M64">
        <v>152.80000000000001</v>
      </c>
      <c r="N64">
        <v>0.53258047090000005</v>
      </c>
    </row>
    <row r="65" spans="1:14" x14ac:dyDescent="0.45">
      <c r="A65" t="s">
        <v>96</v>
      </c>
      <c r="B65" t="s">
        <v>1</v>
      </c>
      <c r="C65" t="s">
        <v>58</v>
      </c>
      <c r="D65" t="s">
        <v>59</v>
      </c>
      <c r="E65" t="s">
        <v>9</v>
      </c>
      <c r="F65" t="s">
        <v>5</v>
      </c>
      <c r="G65">
        <v>2001</v>
      </c>
      <c r="H65">
        <v>28543.9</v>
      </c>
      <c r="I65">
        <v>25181.4</v>
      </c>
      <c r="J65">
        <v>3362.5</v>
      </c>
      <c r="K65">
        <v>11.7</v>
      </c>
      <c r="L65">
        <v>4.0989493379999999E-2</v>
      </c>
      <c r="M65">
        <v>28532.2</v>
      </c>
      <c r="N65">
        <v>99.959010509999999</v>
      </c>
    </row>
    <row r="66" spans="1:14" x14ac:dyDescent="0.45">
      <c r="A66" t="s">
        <v>97</v>
      </c>
      <c r="B66" t="s">
        <v>7</v>
      </c>
      <c r="C66" t="s">
        <v>8</v>
      </c>
      <c r="D66" t="s">
        <v>3</v>
      </c>
      <c r="E66" t="s">
        <v>9</v>
      </c>
      <c r="F66" t="s">
        <v>5</v>
      </c>
      <c r="G66">
        <v>2001</v>
      </c>
      <c r="H66">
        <v>28248</v>
      </c>
      <c r="I66">
        <v>25287.5</v>
      </c>
      <c r="J66">
        <v>2977.8</v>
      </c>
      <c r="K66">
        <v>19629.7</v>
      </c>
      <c r="L66">
        <v>69.490583400000006</v>
      </c>
      <c r="M66">
        <v>8618.2999999999993</v>
      </c>
      <c r="N66">
        <v>30.509416600000002</v>
      </c>
    </row>
    <row r="67" spans="1:14" x14ac:dyDescent="0.45">
      <c r="A67" t="s">
        <v>98</v>
      </c>
      <c r="B67" t="s">
        <v>1</v>
      </c>
      <c r="C67" t="s">
        <v>8</v>
      </c>
      <c r="D67" t="s">
        <v>3</v>
      </c>
      <c r="E67" t="s">
        <v>4</v>
      </c>
      <c r="F67" t="s">
        <v>5</v>
      </c>
      <c r="G67">
        <v>2013</v>
      </c>
      <c r="H67">
        <v>28195.8</v>
      </c>
      <c r="I67">
        <v>12491.3</v>
      </c>
      <c r="J67">
        <v>15715.6</v>
      </c>
      <c r="K67">
        <v>7949.8</v>
      </c>
      <c r="L67">
        <v>28.19497939</v>
      </c>
      <c r="M67">
        <v>20246</v>
      </c>
      <c r="N67">
        <v>71.80502061</v>
      </c>
    </row>
    <row r="68" spans="1:14" x14ac:dyDescent="0.45">
      <c r="A68" t="s">
        <v>99</v>
      </c>
      <c r="B68" t="s">
        <v>1</v>
      </c>
      <c r="C68" t="s">
        <v>20</v>
      </c>
      <c r="D68" t="s">
        <v>3</v>
      </c>
      <c r="E68" t="s">
        <v>38</v>
      </c>
      <c r="F68" t="s">
        <v>35</v>
      </c>
      <c r="G68">
        <v>2005</v>
      </c>
      <c r="H68">
        <v>28155.4</v>
      </c>
      <c r="I68">
        <v>28166.2</v>
      </c>
      <c r="J68">
        <v>0</v>
      </c>
      <c r="K68">
        <v>28130.400000000001</v>
      </c>
      <c r="L68">
        <v>99.911207090000005</v>
      </c>
      <c r="M68">
        <v>25</v>
      </c>
      <c r="N68">
        <v>8.8792913619999997E-2</v>
      </c>
    </row>
    <row r="69" spans="1:14" x14ac:dyDescent="0.45">
      <c r="A69" t="s">
        <v>100</v>
      </c>
      <c r="B69" t="s">
        <v>1</v>
      </c>
      <c r="C69" t="s">
        <v>8</v>
      </c>
      <c r="D69" t="s">
        <v>11</v>
      </c>
      <c r="E69" t="s">
        <v>69</v>
      </c>
      <c r="F69" t="s">
        <v>35</v>
      </c>
      <c r="G69">
        <v>2018</v>
      </c>
      <c r="H69">
        <v>27466.799999999999</v>
      </c>
      <c r="I69">
        <v>19814.7</v>
      </c>
      <c r="J69">
        <v>7652.1</v>
      </c>
      <c r="K69">
        <v>11576.2</v>
      </c>
      <c r="L69">
        <v>42.146154629999998</v>
      </c>
      <c r="M69">
        <v>15890.6</v>
      </c>
      <c r="N69">
        <v>57.853845370000002</v>
      </c>
    </row>
    <row r="70" spans="1:14" x14ac:dyDescent="0.45">
      <c r="A70" t="s">
        <v>101</v>
      </c>
      <c r="B70" t="s">
        <v>1</v>
      </c>
      <c r="C70" t="s">
        <v>76</v>
      </c>
      <c r="D70" t="s">
        <v>11</v>
      </c>
      <c r="E70" t="s">
        <v>77</v>
      </c>
      <c r="F70" t="s">
        <v>5</v>
      </c>
      <c r="G70">
        <v>2019</v>
      </c>
      <c r="H70">
        <v>27406.799999999999</v>
      </c>
      <c r="I70">
        <v>18341.2</v>
      </c>
      <c r="J70">
        <v>9084.4</v>
      </c>
      <c r="K70">
        <v>13658.7</v>
      </c>
      <c r="L70">
        <v>49.836901789999999</v>
      </c>
      <c r="M70">
        <v>13748.1</v>
      </c>
      <c r="N70">
        <v>50.163098210000001</v>
      </c>
    </row>
    <row r="71" spans="1:14" x14ac:dyDescent="0.45">
      <c r="A71" t="s">
        <v>102</v>
      </c>
      <c r="B71" t="s">
        <v>1</v>
      </c>
      <c r="C71" t="s">
        <v>8</v>
      </c>
      <c r="D71" t="s">
        <v>3</v>
      </c>
      <c r="E71" t="s">
        <v>4</v>
      </c>
      <c r="F71" t="s">
        <v>5</v>
      </c>
      <c r="G71">
        <v>2009</v>
      </c>
      <c r="H71">
        <v>27125.8</v>
      </c>
      <c r="I71">
        <v>23925.9</v>
      </c>
      <c r="J71">
        <v>3208.7</v>
      </c>
      <c r="K71">
        <v>11656.5</v>
      </c>
      <c r="L71">
        <v>42.972004509999998</v>
      </c>
      <c r="M71">
        <v>15469.3</v>
      </c>
      <c r="N71">
        <v>57.027995490000002</v>
      </c>
    </row>
    <row r="72" spans="1:14" x14ac:dyDescent="0.45">
      <c r="A72" t="s">
        <v>103</v>
      </c>
      <c r="B72" t="s">
        <v>7</v>
      </c>
      <c r="C72" t="s">
        <v>8</v>
      </c>
      <c r="D72" t="s">
        <v>3</v>
      </c>
      <c r="E72" t="s">
        <v>9</v>
      </c>
      <c r="F72" t="s">
        <v>5</v>
      </c>
      <c r="G72">
        <v>2008</v>
      </c>
      <c r="H72">
        <v>26895.1</v>
      </c>
      <c r="I72">
        <v>16017.5</v>
      </c>
      <c r="J72">
        <v>10884.4</v>
      </c>
      <c r="K72">
        <v>10921.5</v>
      </c>
      <c r="L72">
        <v>40.607768700000001</v>
      </c>
      <c r="M72">
        <v>15973.6</v>
      </c>
      <c r="N72">
        <v>59.392231299999999</v>
      </c>
    </row>
    <row r="73" spans="1:14" x14ac:dyDescent="0.45">
      <c r="A73" t="s">
        <v>104</v>
      </c>
      <c r="B73" t="s">
        <v>1</v>
      </c>
      <c r="C73" t="s">
        <v>8</v>
      </c>
      <c r="D73" t="s">
        <v>3</v>
      </c>
      <c r="E73" t="s">
        <v>14</v>
      </c>
      <c r="F73" t="s">
        <v>5</v>
      </c>
      <c r="G73">
        <v>2011</v>
      </c>
      <c r="H73">
        <v>26465.200000000001</v>
      </c>
      <c r="I73">
        <v>5073.8</v>
      </c>
      <c r="J73">
        <v>21394.799999999999</v>
      </c>
      <c r="K73">
        <v>318.39999999999998</v>
      </c>
      <c r="L73">
        <v>1.20308934</v>
      </c>
      <c r="M73">
        <v>26146.799999999999</v>
      </c>
      <c r="N73">
        <v>98.796910659999995</v>
      </c>
    </row>
    <row r="74" spans="1:14" x14ac:dyDescent="0.45">
      <c r="A74" t="s">
        <v>105</v>
      </c>
      <c r="B74" t="s">
        <v>1</v>
      </c>
      <c r="C74" t="s">
        <v>20</v>
      </c>
      <c r="D74" t="s">
        <v>3</v>
      </c>
      <c r="E74" t="s">
        <v>38</v>
      </c>
      <c r="F74" t="s">
        <v>35</v>
      </c>
      <c r="G74">
        <v>1962</v>
      </c>
      <c r="H74">
        <v>26130.5</v>
      </c>
      <c r="I74">
        <v>26138.7</v>
      </c>
      <c r="J74">
        <v>2.2000000000000002</v>
      </c>
      <c r="K74">
        <v>26123</v>
      </c>
      <c r="L74">
        <v>99.971297910000004</v>
      </c>
      <c r="M74">
        <v>7.5</v>
      </c>
      <c r="N74">
        <v>2.870209143E-2</v>
      </c>
    </row>
    <row r="75" spans="1:14" x14ac:dyDescent="0.45">
      <c r="A75" t="s">
        <v>106</v>
      </c>
      <c r="B75" t="s">
        <v>1</v>
      </c>
      <c r="C75" t="s">
        <v>8</v>
      </c>
      <c r="D75" t="s">
        <v>3</v>
      </c>
      <c r="E75" t="s">
        <v>9</v>
      </c>
      <c r="F75" t="s">
        <v>5</v>
      </c>
      <c r="G75">
        <v>2004</v>
      </c>
      <c r="H75">
        <v>25875.8</v>
      </c>
      <c r="I75">
        <v>18250.900000000001</v>
      </c>
      <c r="J75">
        <v>7641</v>
      </c>
      <c r="K75">
        <v>2321.6999999999998</v>
      </c>
      <c r="L75">
        <v>8.9724762130000002</v>
      </c>
      <c r="M75">
        <v>23554.1</v>
      </c>
      <c r="N75">
        <v>91.027523790000004</v>
      </c>
    </row>
    <row r="76" spans="1:14" x14ac:dyDescent="0.45">
      <c r="A76" t="s">
        <v>107</v>
      </c>
      <c r="B76" t="s">
        <v>1</v>
      </c>
      <c r="C76" t="s">
        <v>8</v>
      </c>
      <c r="D76" t="s">
        <v>11</v>
      </c>
      <c r="E76" t="s">
        <v>12</v>
      </c>
      <c r="F76" t="s">
        <v>5</v>
      </c>
      <c r="G76">
        <v>1995</v>
      </c>
      <c r="H76">
        <v>25875.4</v>
      </c>
      <c r="I76">
        <v>11175.4</v>
      </c>
      <c r="J76">
        <v>14672</v>
      </c>
      <c r="K76">
        <v>2972.5</v>
      </c>
      <c r="L76">
        <v>11.48774512</v>
      </c>
      <c r="M76">
        <v>22902.9</v>
      </c>
      <c r="N76">
        <v>88.51225488</v>
      </c>
    </row>
    <row r="77" spans="1:14" x14ac:dyDescent="0.45">
      <c r="A77" t="s">
        <v>108</v>
      </c>
      <c r="B77" t="s">
        <v>1</v>
      </c>
      <c r="C77" t="s">
        <v>8</v>
      </c>
      <c r="D77" t="s">
        <v>3</v>
      </c>
      <c r="E77" t="s">
        <v>4</v>
      </c>
      <c r="F77" t="s">
        <v>5</v>
      </c>
      <c r="G77">
        <v>2011</v>
      </c>
      <c r="H77">
        <v>25818.400000000001</v>
      </c>
      <c r="I77">
        <v>15382.2</v>
      </c>
      <c r="J77">
        <v>10446.9</v>
      </c>
      <c r="K77">
        <v>10109.799999999999</v>
      </c>
      <c r="L77">
        <v>39.157345149999998</v>
      </c>
      <c r="M77">
        <v>15708.6</v>
      </c>
      <c r="N77">
        <v>60.842654850000002</v>
      </c>
    </row>
    <row r="78" spans="1:14" x14ac:dyDescent="0.45">
      <c r="A78" t="s">
        <v>109</v>
      </c>
      <c r="B78" t="s">
        <v>7</v>
      </c>
      <c r="C78" t="s">
        <v>8</v>
      </c>
      <c r="D78" t="s">
        <v>3</v>
      </c>
      <c r="E78" t="s">
        <v>9</v>
      </c>
      <c r="F78" t="s">
        <v>5</v>
      </c>
      <c r="G78">
        <v>2014</v>
      </c>
      <c r="H78">
        <v>25687.5</v>
      </c>
      <c r="I78">
        <v>13902.2</v>
      </c>
      <c r="J78">
        <v>11792.3</v>
      </c>
      <c r="K78">
        <v>12376.1</v>
      </c>
      <c r="L78">
        <v>48.179464719999999</v>
      </c>
      <c r="M78">
        <v>13311.4</v>
      </c>
      <c r="N78">
        <v>51.820535280000001</v>
      </c>
    </row>
    <row r="79" spans="1:14" x14ac:dyDescent="0.45">
      <c r="A79" t="s">
        <v>110</v>
      </c>
      <c r="B79" t="s">
        <v>1</v>
      </c>
      <c r="C79" t="s">
        <v>8</v>
      </c>
      <c r="D79" t="s">
        <v>3</v>
      </c>
      <c r="E79" t="s">
        <v>4</v>
      </c>
      <c r="F79" t="s">
        <v>5</v>
      </c>
      <c r="G79">
        <v>2006</v>
      </c>
      <c r="H79">
        <v>25289.9</v>
      </c>
      <c r="I79">
        <v>11748.9</v>
      </c>
      <c r="J79">
        <v>13549.3</v>
      </c>
      <c r="K79">
        <v>4844.5</v>
      </c>
      <c r="L79">
        <v>19.155868550000001</v>
      </c>
      <c r="M79">
        <v>20445.400000000001</v>
      </c>
      <c r="N79">
        <v>80.844131450000006</v>
      </c>
    </row>
    <row r="80" spans="1:14" x14ac:dyDescent="0.45">
      <c r="A80" t="s">
        <v>111</v>
      </c>
      <c r="B80" t="s">
        <v>1</v>
      </c>
      <c r="C80" t="s">
        <v>8</v>
      </c>
      <c r="D80" t="s">
        <v>3</v>
      </c>
      <c r="E80" t="s">
        <v>9</v>
      </c>
      <c r="F80" t="s">
        <v>5</v>
      </c>
      <c r="G80">
        <v>1964</v>
      </c>
      <c r="H80">
        <v>25264.400000000001</v>
      </c>
      <c r="I80">
        <v>24355.5</v>
      </c>
      <c r="J80">
        <v>908.9</v>
      </c>
      <c r="K80">
        <v>22915.3</v>
      </c>
      <c r="L80">
        <v>90.701936320000002</v>
      </c>
      <c r="M80">
        <v>2349.1</v>
      </c>
      <c r="N80">
        <v>9.2980636790000002</v>
      </c>
    </row>
    <row r="81" spans="1:14" x14ac:dyDescent="0.45">
      <c r="A81" t="s">
        <v>112</v>
      </c>
      <c r="B81" t="s">
        <v>7</v>
      </c>
      <c r="C81" t="s">
        <v>8</v>
      </c>
      <c r="D81" t="s">
        <v>3</v>
      </c>
      <c r="E81" t="s">
        <v>9</v>
      </c>
      <c r="F81" t="s">
        <v>5</v>
      </c>
      <c r="G81">
        <v>2014</v>
      </c>
      <c r="H81">
        <v>24888.6</v>
      </c>
      <c r="I81">
        <v>22789.599999999999</v>
      </c>
      <c r="J81">
        <v>2114.3000000000002</v>
      </c>
      <c r="K81">
        <v>22549.4</v>
      </c>
      <c r="L81">
        <v>90.601319480000001</v>
      </c>
      <c r="M81">
        <v>2339.1999999999998</v>
      </c>
      <c r="N81">
        <v>9.3986805199999992</v>
      </c>
    </row>
    <row r="82" spans="1:14" x14ac:dyDescent="0.45">
      <c r="A82" t="s">
        <v>113</v>
      </c>
      <c r="B82" t="s">
        <v>1</v>
      </c>
      <c r="C82" t="s">
        <v>8</v>
      </c>
      <c r="D82" t="s">
        <v>3</v>
      </c>
      <c r="E82" t="s">
        <v>14</v>
      </c>
      <c r="F82" t="s">
        <v>5</v>
      </c>
      <c r="G82">
        <v>2011</v>
      </c>
      <c r="H82">
        <v>24807.4</v>
      </c>
      <c r="I82">
        <v>20425.400000000001</v>
      </c>
      <c r="J82">
        <v>4391.5</v>
      </c>
      <c r="K82">
        <v>18809.3</v>
      </c>
      <c r="L82">
        <v>75.821327510000003</v>
      </c>
      <c r="M82">
        <v>5998.1</v>
      </c>
      <c r="N82">
        <v>24.17867249</v>
      </c>
    </row>
    <row r="83" spans="1:14" x14ac:dyDescent="0.45">
      <c r="A83" t="s">
        <v>114</v>
      </c>
      <c r="B83" t="s">
        <v>1</v>
      </c>
      <c r="C83" t="s">
        <v>115</v>
      </c>
      <c r="D83" t="s">
        <v>116</v>
      </c>
      <c r="E83" t="s">
        <v>117</v>
      </c>
      <c r="F83" t="s">
        <v>35</v>
      </c>
      <c r="G83">
        <v>1979</v>
      </c>
      <c r="H83">
        <v>24607</v>
      </c>
      <c r="I83">
        <v>24525.4</v>
      </c>
      <c r="J83">
        <v>81.599999999999994</v>
      </c>
      <c r="K83">
        <v>24410.799999999999</v>
      </c>
      <c r="L83">
        <v>99.202665909999993</v>
      </c>
      <c r="M83">
        <v>196.2</v>
      </c>
      <c r="N83">
        <v>0.79733409190000004</v>
      </c>
    </row>
    <row r="84" spans="1:14" x14ac:dyDescent="0.45">
      <c r="A84" t="s">
        <v>118</v>
      </c>
      <c r="B84" t="s">
        <v>1</v>
      </c>
      <c r="C84" t="s">
        <v>8</v>
      </c>
      <c r="D84" t="s">
        <v>3</v>
      </c>
      <c r="E84" t="s">
        <v>4</v>
      </c>
      <c r="F84" t="s">
        <v>5</v>
      </c>
      <c r="G84">
        <v>1996</v>
      </c>
      <c r="H84">
        <v>24440.1</v>
      </c>
      <c r="I84">
        <v>13311.3</v>
      </c>
      <c r="J84">
        <v>11139.9</v>
      </c>
      <c r="K84">
        <v>2764.3</v>
      </c>
      <c r="L84">
        <v>11.31051019</v>
      </c>
      <c r="M84">
        <v>21675.8</v>
      </c>
      <c r="N84">
        <v>88.689489809999998</v>
      </c>
    </row>
    <row r="85" spans="1:14" x14ac:dyDescent="0.45">
      <c r="A85" t="s">
        <v>119</v>
      </c>
      <c r="B85" t="s">
        <v>1</v>
      </c>
      <c r="C85" t="s">
        <v>8</v>
      </c>
      <c r="D85" t="s">
        <v>3</v>
      </c>
      <c r="E85" t="s">
        <v>4</v>
      </c>
      <c r="F85" t="s">
        <v>5</v>
      </c>
      <c r="G85">
        <v>2011</v>
      </c>
      <c r="H85">
        <v>24217.200000000001</v>
      </c>
      <c r="I85">
        <v>14721.3</v>
      </c>
      <c r="J85">
        <v>9504.2999999999993</v>
      </c>
      <c r="K85">
        <v>6253.7</v>
      </c>
      <c r="L85">
        <v>25.823381730000001</v>
      </c>
      <c r="M85">
        <v>17963.5</v>
      </c>
      <c r="N85">
        <v>74.176618270000006</v>
      </c>
    </row>
    <row r="86" spans="1:14" x14ac:dyDescent="0.45">
      <c r="A86" t="s">
        <v>120</v>
      </c>
      <c r="B86" t="s">
        <v>7</v>
      </c>
      <c r="C86" t="s">
        <v>8</v>
      </c>
      <c r="D86" t="s">
        <v>3</v>
      </c>
      <c r="E86" t="s">
        <v>9</v>
      </c>
      <c r="F86" t="s">
        <v>5</v>
      </c>
      <c r="G86">
        <v>2006</v>
      </c>
      <c r="H86">
        <v>23907.599999999999</v>
      </c>
      <c r="I86">
        <v>20739</v>
      </c>
      <c r="J86">
        <v>3175.7</v>
      </c>
      <c r="K86">
        <v>18453.900000000001</v>
      </c>
      <c r="L86">
        <v>77.188425440000003</v>
      </c>
      <c r="M86">
        <v>5453.7</v>
      </c>
      <c r="N86">
        <v>22.81157456</v>
      </c>
    </row>
    <row r="87" spans="1:14" x14ac:dyDescent="0.45">
      <c r="A87" t="s">
        <v>121</v>
      </c>
      <c r="B87" t="s">
        <v>1</v>
      </c>
      <c r="C87" t="s">
        <v>8</v>
      </c>
      <c r="D87" t="s">
        <v>3</v>
      </c>
      <c r="E87" t="s">
        <v>47</v>
      </c>
      <c r="F87" t="s">
        <v>35</v>
      </c>
      <c r="G87">
        <v>2012</v>
      </c>
      <c r="H87">
        <v>23845.1</v>
      </c>
      <c r="I87">
        <v>22661.5</v>
      </c>
      <c r="J87">
        <v>1189.8</v>
      </c>
      <c r="K87">
        <v>3830.9</v>
      </c>
      <c r="L87">
        <v>16.065774520000002</v>
      </c>
      <c r="M87">
        <v>20014.2</v>
      </c>
      <c r="N87">
        <v>83.934225479999995</v>
      </c>
    </row>
    <row r="88" spans="1:14" x14ac:dyDescent="0.45">
      <c r="A88" t="s">
        <v>122</v>
      </c>
      <c r="B88" t="s">
        <v>1</v>
      </c>
      <c r="C88" t="s">
        <v>8</v>
      </c>
      <c r="D88" t="s">
        <v>3</v>
      </c>
      <c r="E88" t="s">
        <v>47</v>
      </c>
      <c r="F88" t="s">
        <v>5</v>
      </c>
      <c r="G88">
        <v>2015</v>
      </c>
      <c r="H88">
        <v>23705.9</v>
      </c>
      <c r="I88">
        <v>17589.400000000001</v>
      </c>
      <c r="J88">
        <v>6122.5</v>
      </c>
      <c r="K88">
        <v>1704.1</v>
      </c>
      <c r="L88">
        <v>7.1885058150000001</v>
      </c>
      <c r="M88">
        <v>22001.8</v>
      </c>
      <c r="N88">
        <v>92.811494179999997</v>
      </c>
    </row>
    <row r="89" spans="1:14" x14ac:dyDescent="0.45">
      <c r="A89" t="s">
        <v>123</v>
      </c>
      <c r="B89" t="s">
        <v>7</v>
      </c>
      <c r="C89" t="s">
        <v>8</v>
      </c>
      <c r="D89" t="s">
        <v>3</v>
      </c>
      <c r="E89" t="s">
        <v>4</v>
      </c>
      <c r="F89" t="s">
        <v>5</v>
      </c>
      <c r="G89">
        <v>2015</v>
      </c>
      <c r="H89">
        <v>22494.9</v>
      </c>
      <c r="I89">
        <v>10833.6</v>
      </c>
      <c r="J89">
        <v>11666.6</v>
      </c>
      <c r="K89">
        <v>4407.8</v>
      </c>
      <c r="L89">
        <v>19.59466368</v>
      </c>
      <c r="M89">
        <v>18087.099999999999</v>
      </c>
      <c r="N89">
        <v>80.405336320000004</v>
      </c>
    </row>
    <row r="90" spans="1:14" x14ac:dyDescent="0.45">
      <c r="A90" t="s">
        <v>124</v>
      </c>
      <c r="B90" t="s">
        <v>1</v>
      </c>
      <c r="C90" t="s">
        <v>8</v>
      </c>
      <c r="D90" t="s">
        <v>3</v>
      </c>
      <c r="E90" t="s">
        <v>44</v>
      </c>
      <c r="F90" t="s">
        <v>35</v>
      </c>
      <c r="G90">
        <v>2009</v>
      </c>
      <c r="H90">
        <v>22475.8</v>
      </c>
      <c r="I90">
        <v>22215.200000000001</v>
      </c>
      <c r="J90">
        <v>269.10000000000002</v>
      </c>
      <c r="K90">
        <v>22142.6</v>
      </c>
      <c r="L90">
        <v>98.517516619999995</v>
      </c>
      <c r="M90">
        <v>333.2</v>
      </c>
      <c r="N90">
        <v>1.4824833820000001</v>
      </c>
    </row>
    <row r="91" spans="1:14" x14ac:dyDescent="0.45">
      <c r="A91" t="s">
        <v>125</v>
      </c>
      <c r="B91" t="s">
        <v>65</v>
      </c>
      <c r="C91" t="s">
        <v>8</v>
      </c>
      <c r="D91" t="s">
        <v>3</v>
      </c>
      <c r="E91" t="s">
        <v>126</v>
      </c>
      <c r="F91" t="s">
        <v>35</v>
      </c>
      <c r="G91">
        <v>1949</v>
      </c>
      <c r="H91">
        <v>22236.1</v>
      </c>
      <c r="I91">
        <v>287.8</v>
      </c>
      <c r="J91">
        <v>21966.6</v>
      </c>
      <c r="K91">
        <v>0</v>
      </c>
      <c r="L91">
        <v>0</v>
      </c>
      <c r="M91">
        <v>22236.1</v>
      </c>
      <c r="N91">
        <v>100</v>
      </c>
    </row>
    <row r="92" spans="1:14" x14ac:dyDescent="0.45">
      <c r="A92" t="s">
        <v>127</v>
      </c>
      <c r="B92" t="s">
        <v>1</v>
      </c>
      <c r="C92" t="s">
        <v>8</v>
      </c>
      <c r="D92" t="s">
        <v>11</v>
      </c>
      <c r="E92" t="s">
        <v>12</v>
      </c>
      <c r="F92" t="s">
        <v>5</v>
      </c>
      <c r="G92">
        <v>2004</v>
      </c>
      <c r="H92">
        <v>21937.3</v>
      </c>
      <c r="I92">
        <v>8927.4</v>
      </c>
      <c r="J92">
        <v>13023.3</v>
      </c>
      <c r="K92">
        <v>3007</v>
      </c>
      <c r="L92">
        <v>13.70724747</v>
      </c>
      <c r="M92">
        <v>18930.3</v>
      </c>
      <c r="N92">
        <v>86.292752530000001</v>
      </c>
    </row>
    <row r="93" spans="1:14" x14ac:dyDescent="0.45">
      <c r="A93" t="s">
        <v>128</v>
      </c>
      <c r="B93" t="s">
        <v>65</v>
      </c>
      <c r="C93" t="s">
        <v>8</v>
      </c>
      <c r="D93" t="s">
        <v>3</v>
      </c>
      <c r="E93" t="s">
        <v>38</v>
      </c>
      <c r="F93" t="s">
        <v>35</v>
      </c>
      <c r="G93">
        <v>1984</v>
      </c>
      <c r="H93">
        <v>21873.8</v>
      </c>
      <c r="I93">
        <v>21884.2</v>
      </c>
      <c r="J93">
        <v>0</v>
      </c>
      <c r="K93">
        <v>21872.400000000001</v>
      </c>
      <c r="L93">
        <v>99.993599649999993</v>
      </c>
      <c r="M93">
        <v>1.4</v>
      </c>
      <c r="N93">
        <v>6.4003511050000003E-3</v>
      </c>
    </row>
    <row r="94" spans="1:14" x14ac:dyDescent="0.45">
      <c r="A94" t="s">
        <v>129</v>
      </c>
      <c r="B94" t="s">
        <v>7</v>
      </c>
      <c r="C94" t="s">
        <v>130</v>
      </c>
      <c r="D94" t="s">
        <v>3</v>
      </c>
      <c r="E94" t="s">
        <v>9</v>
      </c>
      <c r="F94" t="s">
        <v>5</v>
      </c>
      <c r="G94">
        <v>2012</v>
      </c>
      <c r="H94">
        <v>21546.2</v>
      </c>
      <c r="I94">
        <v>12365.6</v>
      </c>
      <c r="J94">
        <v>9186</v>
      </c>
      <c r="K94">
        <v>6409.3</v>
      </c>
      <c r="L94">
        <v>29.746776690000001</v>
      </c>
      <c r="M94">
        <v>15136.9</v>
      </c>
      <c r="N94">
        <v>70.253223309999996</v>
      </c>
    </row>
    <row r="95" spans="1:14" x14ac:dyDescent="0.45">
      <c r="A95" t="s">
        <v>131</v>
      </c>
      <c r="B95" t="s">
        <v>1</v>
      </c>
      <c r="C95" t="s">
        <v>8</v>
      </c>
      <c r="D95" t="s">
        <v>3</v>
      </c>
      <c r="E95" t="s">
        <v>4</v>
      </c>
      <c r="F95" t="s">
        <v>35</v>
      </c>
      <c r="G95">
        <v>2014</v>
      </c>
      <c r="H95">
        <v>21202.3</v>
      </c>
      <c r="I95">
        <v>20357.3</v>
      </c>
      <c r="J95">
        <v>851.6</v>
      </c>
      <c r="K95">
        <v>16646.900000000001</v>
      </c>
      <c r="L95">
        <v>78.514595110000002</v>
      </c>
      <c r="M95">
        <v>4555.3999999999996</v>
      </c>
      <c r="N95">
        <v>21.485404890000002</v>
      </c>
    </row>
    <row r="96" spans="1:14" x14ac:dyDescent="0.45">
      <c r="A96" t="s">
        <v>132</v>
      </c>
      <c r="B96" t="s">
        <v>65</v>
      </c>
      <c r="C96" t="s">
        <v>8</v>
      </c>
      <c r="D96" t="s">
        <v>3</v>
      </c>
      <c r="E96" t="s">
        <v>9</v>
      </c>
      <c r="F96" t="s">
        <v>35</v>
      </c>
      <c r="G96">
        <v>2007</v>
      </c>
      <c r="H96">
        <v>21182.2</v>
      </c>
      <c r="I96">
        <v>19519.400000000001</v>
      </c>
      <c r="J96">
        <v>1669.7</v>
      </c>
      <c r="K96">
        <v>17506.599999999999</v>
      </c>
      <c r="L96">
        <v>82.647694759999993</v>
      </c>
      <c r="M96">
        <v>3675.6</v>
      </c>
      <c r="N96">
        <v>17.35230524</v>
      </c>
    </row>
    <row r="97" spans="1:14" x14ac:dyDescent="0.45">
      <c r="A97" t="s">
        <v>133</v>
      </c>
      <c r="B97" t="s">
        <v>1</v>
      </c>
      <c r="C97" t="s">
        <v>134</v>
      </c>
      <c r="D97" t="s">
        <v>3</v>
      </c>
      <c r="E97" t="s">
        <v>47</v>
      </c>
      <c r="F97" t="s">
        <v>5</v>
      </c>
      <c r="G97">
        <v>2006</v>
      </c>
      <c r="H97">
        <v>21003.5</v>
      </c>
      <c r="I97">
        <v>20142.3</v>
      </c>
      <c r="J97">
        <v>867.4</v>
      </c>
      <c r="K97">
        <v>14179.7</v>
      </c>
      <c r="L97">
        <v>67.511129100000005</v>
      </c>
      <c r="M97">
        <v>6823.8</v>
      </c>
      <c r="N97">
        <v>32.488870900000002</v>
      </c>
    </row>
    <row r="98" spans="1:14" x14ac:dyDescent="0.45">
      <c r="A98" t="s">
        <v>135</v>
      </c>
      <c r="B98" t="s">
        <v>1</v>
      </c>
      <c r="C98" t="s">
        <v>8</v>
      </c>
      <c r="D98" t="s">
        <v>3</v>
      </c>
      <c r="E98" t="s">
        <v>47</v>
      </c>
      <c r="F98" t="s">
        <v>5</v>
      </c>
      <c r="G98">
        <v>2002</v>
      </c>
      <c r="H98">
        <v>20670.8</v>
      </c>
      <c r="I98">
        <v>5352.4</v>
      </c>
      <c r="J98">
        <v>15318.4</v>
      </c>
      <c r="K98">
        <v>32.5</v>
      </c>
      <c r="L98">
        <v>0.1572266192</v>
      </c>
      <c r="M98">
        <v>20638.3</v>
      </c>
      <c r="N98">
        <v>99.842773379999997</v>
      </c>
    </row>
    <row r="99" spans="1:14" x14ac:dyDescent="0.45">
      <c r="A99" t="s">
        <v>136</v>
      </c>
      <c r="B99" t="s">
        <v>1</v>
      </c>
      <c r="C99" t="s">
        <v>8</v>
      </c>
      <c r="D99" t="s">
        <v>3</v>
      </c>
      <c r="E99" t="s">
        <v>4</v>
      </c>
      <c r="F99" t="s">
        <v>5</v>
      </c>
      <c r="G99">
        <v>1993</v>
      </c>
      <c r="H99">
        <v>20644.8</v>
      </c>
      <c r="I99">
        <v>7762</v>
      </c>
      <c r="J99">
        <v>12890.7</v>
      </c>
      <c r="K99">
        <v>1744.2</v>
      </c>
      <c r="L99">
        <v>8.4486166009999994</v>
      </c>
      <c r="M99">
        <v>18900.599999999999</v>
      </c>
      <c r="N99">
        <v>91.551383400000006</v>
      </c>
    </row>
    <row r="100" spans="1:14" x14ac:dyDescent="0.45">
      <c r="A100" t="s">
        <v>137</v>
      </c>
      <c r="B100" t="s">
        <v>1</v>
      </c>
      <c r="C100" t="s">
        <v>8</v>
      </c>
      <c r="D100" t="s">
        <v>11</v>
      </c>
      <c r="E100" t="s">
        <v>138</v>
      </c>
      <c r="F100" t="s">
        <v>5</v>
      </c>
      <c r="G100">
        <v>2011</v>
      </c>
      <c r="H100">
        <v>20549.2</v>
      </c>
      <c r="I100">
        <v>14249.8</v>
      </c>
      <c r="J100">
        <v>6311</v>
      </c>
      <c r="K100">
        <v>8225.7000000000007</v>
      </c>
      <c r="L100">
        <v>40.02929554</v>
      </c>
      <c r="M100">
        <v>12323.5</v>
      </c>
      <c r="N100">
        <v>59.97070446</v>
      </c>
    </row>
    <row r="101" spans="1:14" x14ac:dyDescent="0.45">
      <c r="A101" t="s">
        <v>139</v>
      </c>
      <c r="B101" t="s">
        <v>1</v>
      </c>
      <c r="C101" t="s">
        <v>8</v>
      </c>
      <c r="D101" t="s">
        <v>3</v>
      </c>
      <c r="E101" t="s">
        <v>4</v>
      </c>
      <c r="F101" t="s">
        <v>5</v>
      </c>
      <c r="G101">
        <v>2003</v>
      </c>
      <c r="H101">
        <v>20444.599999999999</v>
      </c>
      <c r="I101">
        <v>14112.2</v>
      </c>
      <c r="J101">
        <v>6342</v>
      </c>
      <c r="K101">
        <v>8484.4</v>
      </c>
      <c r="L101">
        <v>41.499466849999997</v>
      </c>
      <c r="M101">
        <v>11960.2</v>
      </c>
      <c r="N101">
        <v>58.500533150000003</v>
      </c>
    </row>
    <row r="102" spans="1:14" x14ac:dyDescent="0.45">
      <c r="A102" t="s">
        <v>140</v>
      </c>
      <c r="B102" t="s">
        <v>1</v>
      </c>
      <c r="C102" t="s">
        <v>76</v>
      </c>
      <c r="D102" t="s">
        <v>11</v>
      </c>
      <c r="E102" t="s">
        <v>77</v>
      </c>
      <c r="F102" t="s">
        <v>5</v>
      </c>
      <c r="G102">
        <v>2018</v>
      </c>
      <c r="H102">
        <v>20300.7</v>
      </c>
      <c r="I102">
        <v>13993.4</v>
      </c>
      <c r="J102">
        <v>6316.3</v>
      </c>
      <c r="K102">
        <v>7574.2</v>
      </c>
      <c r="L102">
        <v>37.310043499999999</v>
      </c>
      <c r="M102">
        <v>12726.5</v>
      </c>
      <c r="N102">
        <v>62.689956500000001</v>
      </c>
    </row>
    <row r="103" spans="1:14" x14ac:dyDescent="0.45">
      <c r="A103" t="s">
        <v>141</v>
      </c>
      <c r="B103" t="s">
        <v>1</v>
      </c>
      <c r="C103" t="s">
        <v>8</v>
      </c>
      <c r="D103" t="s">
        <v>3</v>
      </c>
      <c r="E103" t="s">
        <v>4</v>
      </c>
      <c r="F103" t="s">
        <v>5</v>
      </c>
      <c r="G103">
        <v>2015</v>
      </c>
      <c r="H103">
        <v>20138.099999999999</v>
      </c>
      <c r="I103">
        <v>15305.8</v>
      </c>
      <c r="J103">
        <v>4841.7</v>
      </c>
      <c r="K103">
        <v>13558.6</v>
      </c>
      <c r="L103">
        <v>67.328099469999998</v>
      </c>
      <c r="M103">
        <v>6579.5</v>
      </c>
      <c r="N103">
        <v>32.671900530000002</v>
      </c>
    </row>
    <row r="104" spans="1:14" x14ac:dyDescent="0.45">
      <c r="A104" t="s">
        <v>142</v>
      </c>
      <c r="B104" t="s">
        <v>1</v>
      </c>
      <c r="C104" t="s">
        <v>8</v>
      </c>
      <c r="D104" t="s">
        <v>3</v>
      </c>
      <c r="E104" t="s">
        <v>4</v>
      </c>
      <c r="F104" t="s">
        <v>5</v>
      </c>
      <c r="G104">
        <v>2007</v>
      </c>
      <c r="H104">
        <v>20091.099999999999</v>
      </c>
      <c r="I104">
        <v>18765.5</v>
      </c>
      <c r="J104">
        <v>1328</v>
      </c>
      <c r="K104">
        <v>12865.2</v>
      </c>
      <c r="L104">
        <v>64.034323659999998</v>
      </c>
      <c r="M104">
        <v>7225.9</v>
      </c>
      <c r="N104">
        <v>35.965676340000002</v>
      </c>
    </row>
    <row r="105" spans="1:14" x14ac:dyDescent="0.45">
      <c r="A105" t="s">
        <v>143</v>
      </c>
      <c r="B105" t="s">
        <v>1</v>
      </c>
      <c r="C105" t="s">
        <v>8</v>
      </c>
      <c r="D105" t="s">
        <v>3</v>
      </c>
      <c r="E105" t="s">
        <v>4</v>
      </c>
      <c r="F105" t="s">
        <v>5</v>
      </c>
      <c r="G105">
        <v>2015</v>
      </c>
      <c r="H105">
        <v>19977.5</v>
      </c>
      <c r="I105">
        <v>9365.1</v>
      </c>
      <c r="J105">
        <v>10617.1</v>
      </c>
      <c r="K105">
        <v>5320.2</v>
      </c>
      <c r="L105">
        <v>26.630959829999998</v>
      </c>
      <c r="M105">
        <v>14657.3</v>
      </c>
      <c r="N105">
        <v>73.369040170000005</v>
      </c>
    </row>
    <row r="106" spans="1:14" x14ac:dyDescent="0.45">
      <c r="A106" t="s">
        <v>144</v>
      </c>
      <c r="B106" t="s">
        <v>1</v>
      </c>
      <c r="C106" t="s">
        <v>8</v>
      </c>
      <c r="D106" t="s">
        <v>3</v>
      </c>
      <c r="E106" t="s">
        <v>4</v>
      </c>
      <c r="F106" t="s">
        <v>5</v>
      </c>
      <c r="G106">
        <v>2017</v>
      </c>
      <c r="H106">
        <v>19830.5</v>
      </c>
      <c r="I106">
        <v>12351.9</v>
      </c>
      <c r="J106">
        <v>7494</v>
      </c>
      <c r="K106">
        <v>8302.6</v>
      </c>
      <c r="L106">
        <v>41.867829860000001</v>
      </c>
      <c r="M106">
        <v>11527.9</v>
      </c>
      <c r="N106">
        <v>58.132170139999999</v>
      </c>
    </row>
    <row r="107" spans="1:14" x14ac:dyDescent="0.45">
      <c r="A107" t="s">
        <v>145</v>
      </c>
      <c r="B107" t="s">
        <v>1</v>
      </c>
      <c r="C107" t="s">
        <v>8</v>
      </c>
      <c r="D107" t="s">
        <v>3</v>
      </c>
      <c r="E107" t="s">
        <v>85</v>
      </c>
      <c r="F107" t="s">
        <v>5</v>
      </c>
      <c r="G107">
        <v>2019</v>
      </c>
      <c r="H107">
        <v>19727.2</v>
      </c>
      <c r="I107">
        <v>19690.8</v>
      </c>
      <c r="J107">
        <v>47.3</v>
      </c>
      <c r="K107">
        <v>15838.7</v>
      </c>
      <c r="L107">
        <v>80.288637010000002</v>
      </c>
      <c r="M107">
        <v>3888.5</v>
      </c>
      <c r="N107">
        <v>19.711362990000001</v>
      </c>
    </row>
    <row r="108" spans="1:14" x14ac:dyDescent="0.45">
      <c r="A108" t="s">
        <v>146</v>
      </c>
      <c r="B108" t="s">
        <v>1</v>
      </c>
      <c r="C108" t="s">
        <v>147</v>
      </c>
      <c r="D108" t="s">
        <v>3</v>
      </c>
      <c r="E108" t="s">
        <v>47</v>
      </c>
      <c r="F108" t="s">
        <v>5</v>
      </c>
      <c r="G108">
        <v>2013</v>
      </c>
      <c r="H108">
        <v>19707.8</v>
      </c>
      <c r="I108">
        <v>17829.8</v>
      </c>
      <c r="J108">
        <v>1883.3</v>
      </c>
      <c r="K108">
        <v>250.7</v>
      </c>
      <c r="L108">
        <v>1.2720851639999999</v>
      </c>
      <c r="M108">
        <v>19457.099999999999</v>
      </c>
      <c r="N108">
        <v>98.727914839999997</v>
      </c>
    </row>
    <row r="109" spans="1:14" x14ac:dyDescent="0.45">
      <c r="A109" t="s">
        <v>148</v>
      </c>
      <c r="B109" t="s">
        <v>1</v>
      </c>
      <c r="C109" t="s">
        <v>149</v>
      </c>
      <c r="D109" t="s">
        <v>11</v>
      </c>
      <c r="E109" t="s">
        <v>12</v>
      </c>
      <c r="F109" t="s">
        <v>5</v>
      </c>
      <c r="G109">
        <v>2014</v>
      </c>
      <c r="H109">
        <v>19528.3</v>
      </c>
      <c r="I109">
        <v>7512.9</v>
      </c>
      <c r="J109">
        <v>12015.4</v>
      </c>
      <c r="K109">
        <v>2397.8000000000002</v>
      </c>
      <c r="L109">
        <v>12.27859056</v>
      </c>
      <c r="M109">
        <v>17130.5</v>
      </c>
      <c r="N109">
        <v>87.721409440000002</v>
      </c>
    </row>
    <row r="110" spans="1:14" x14ac:dyDescent="0.45">
      <c r="A110" t="s">
        <v>150</v>
      </c>
      <c r="B110" t="s">
        <v>1</v>
      </c>
      <c r="C110" t="s">
        <v>8</v>
      </c>
      <c r="D110" t="s">
        <v>3</v>
      </c>
      <c r="E110" t="s">
        <v>44</v>
      </c>
      <c r="F110" t="s">
        <v>35</v>
      </c>
      <c r="G110">
        <v>2011</v>
      </c>
      <c r="H110">
        <v>19440.5</v>
      </c>
      <c r="I110">
        <v>19435.599999999999</v>
      </c>
      <c r="J110">
        <v>14.3</v>
      </c>
      <c r="K110">
        <v>18793.5</v>
      </c>
      <c r="L110">
        <v>96.6718963</v>
      </c>
      <c r="M110">
        <v>647</v>
      </c>
      <c r="N110">
        <v>3.3281037009999999</v>
      </c>
    </row>
    <row r="111" spans="1:14" x14ac:dyDescent="0.45">
      <c r="A111" t="s">
        <v>151</v>
      </c>
      <c r="B111" t="s">
        <v>1</v>
      </c>
      <c r="C111" t="s">
        <v>8</v>
      </c>
      <c r="D111" t="s">
        <v>3</v>
      </c>
      <c r="E111" t="s">
        <v>4</v>
      </c>
      <c r="F111" t="s">
        <v>5</v>
      </c>
      <c r="G111">
        <v>2008</v>
      </c>
      <c r="H111">
        <v>19383.5</v>
      </c>
      <c r="I111">
        <v>2977.3</v>
      </c>
      <c r="J111">
        <v>16406.099999999999</v>
      </c>
      <c r="K111">
        <v>809.7</v>
      </c>
      <c r="L111">
        <v>4.1772641679999998</v>
      </c>
      <c r="M111">
        <v>18573.8</v>
      </c>
      <c r="N111">
        <v>95.822735829999999</v>
      </c>
    </row>
    <row r="112" spans="1:14" x14ac:dyDescent="0.45">
      <c r="A112" t="s">
        <v>152</v>
      </c>
      <c r="B112" t="s">
        <v>1</v>
      </c>
      <c r="C112" t="s">
        <v>153</v>
      </c>
      <c r="D112" t="s">
        <v>154</v>
      </c>
      <c r="E112" t="s">
        <v>155</v>
      </c>
      <c r="F112" t="s">
        <v>35</v>
      </c>
      <c r="G112">
        <v>2008</v>
      </c>
      <c r="H112">
        <v>19231.7</v>
      </c>
      <c r="I112">
        <v>15881.4</v>
      </c>
      <c r="J112">
        <v>3360.5</v>
      </c>
      <c r="K112">
        <v>15399.4</v>
      </c>
      <c r="L112">
        <v>80.073004470000001</v>
      </c>
      <c r="M112">
        <v>3832.3</v>
      </c>
      <c r="N112">
        <v>19.926995529999999</v>
      </c>
    </row>
    <row r="113" spans="1:14" x14ac:dyDescent="0.45">
      <c r="A113" t="s">
        <v>156</v>
      </c>
      <c r="B113" t="s">
        <v>1</v>
      </c>
      <c r="C113" t="s">
        <v>8</v>
      </c>
      <c r="D113" t="s">
        <v>3</v>
      </c>
      <c r="E113" t="s">
        <v>85</v>
      </c>
      <c r="F113" t="s">
        <v>5</v>
      </c>
      <c r="G113">
        <v>2014</v>
      </c>
      <c r="H113">
        <v>19101.599999999999</v>
      </c>
      <c r="I113">
        <v>17465.400000000001</v>
      </c>
      <c r="J113">
        <v>1647.2</v>
      </c>
      <c r="K113">
        <v>16648</v>
      </c>
      <c r="L113">
        <v>87.155002719999999</v>
      </c>
      <c r="M113">
        <v>2453.6</v>
      </c>
      <c r="N113">
        <v>12.844997279999999</v>
      </c>
    </row>
    <row r="114" spans="1:14" x14ac:dyDescent="0.45">
      <c r="A114" t="s">
        <v>157</v>
      </c>
      <c r="B114" t="s">
        <v>1</v>
      </c>
      <c r="C114" t="s">
        <v>20</v>
      </c>
      <c r="D114" t="s">
        <v>3</v>
      </c>
      <c r="E114" t="s">
        <v>38</v>
      </c>
      <c r="F114" t="s">
        <v>5</v>
      </c>
      <c r="G114">
        <v>1969</v>
      </c>
      <c r="H114">
        <v>19090.400000000001</v>
      </c>
      <c r="I114">
        <v>17435.400000000001</v>
      </c>
      <c r="J114">
        <v>1662.4</v>
      </c>
      <c r="K114">
        <v>12211.1</v>
      </c>
      <c r="L114">
        <v>63.964610479999997</v>
      </c>
      <c r="M114">
        <v>6879.3</v>
      </c>
      <c r="N114">
        <v>36.035389520000003</v>
      </c>
    </row>
    <row r="115" spans="1:14" x14ac:dyDescent="0.45">
      <c r="A115" t="s">
        <v>158</v>
      </c>
      <c r="B115" t="s">
        <v>1</v>
      </c>
      <c r="C115" t="s">
        <v>29</v>
      </c>
      <c r="D115" t="s">
        <v>11</v>
      </c>
      <c r="E115" t="s">
        <v>69</v>
      </c>
      <c r="F115" t="s">
        <v>5</v>
      </c>
      <c r="G115">
        <v>2016</v>
      </c>
      <c r="H115">
        <v>18912.7</v>
      </c>
      <c r="I115">
        <v>8490.9</v>
      </c>
      <c r="J115">
        <v>10429.4</v>
      </c>
      <c r="K115">
        <v>5716.7</v>
      </c>
      <c r="L115">
        <v>30.226778830000001</v>
      </c>
      <c r="M115">
        <v>13196</v>
      </c>
      <c r="N115">
        <v>69.773221169999999</v>
      </c>
    </row>
    <row r="116" spans="1:14" x14ac:dyDescent="0.45">
      <c r="A116" t="s">
        <v>159</v>
      </c>
      <c r="B116" t="s">
        <v>1</v>
      </c>
      <c r="C116" t="s">
        <v>8</v>
      </c>
      <c r="D116" t="s">
        <v>3</v>
      </c>
      <c r="E116" t="s">
        <v>4</v>
      </c>
      <c r="F116" t="s">
        <v>5</v>
      </c>
      <c r="G116">
        <v>2016</v>
      </c>
      <c r="H116">
        <v>18889.599999999999</v>
      </c>
      <c r="I116">
        <v>11762.8</v>
      </c>
      <c r="J116">
        <v>7126.8</v>
      </c>
      <c r="K116">
        <v>5822.1</v>
      </c>
      <c r="L116">
        <v>30.821722009999998</v>
      </c>
      <c r="M116">
        <v>13067.5</v>
      </c>
      <c r="N116">
        <v>69.178277989999998</v>
      </c>
    </row>
    <row r="117" spans="1:14" x14ac:dyDescent="0.45">
      <c r="A117" t="s">
        <v>160</v>
      </c>
      <c r="B117" t="s">
        <v>7</v>
      </c>
      <c r="C117" t="s">
        <v>2</v>
      </c>
      <c r="D117" t="s">
        <v>3</v>
      </c>
      <c r="E117" t="s">
        <v>9</v>
      </c>
      <c r="F117" t="s">
        <v>5</v>
      </c>
      <c r="G117">
        <v>2017</v>
      </c>
      <c r="H117">
        <v>18707.3</v>
      </c>
      <c r="I117">
        <v>16893.7</v>
      </c>
      <c r="J117">
        <v>1823.3</v>
      </c>
      <c r="K117">
        <v>15280.9</v>
      </c>
      <c r="L117">
        <v>81.684155380000007</v>
      </c>
      <c r="M117">
        <v>3426.4</v>
      </c>
      <c r="N117">
        <v>18.31584462</v>
      </c>
    </row>
    <row r="118" spans="1:14" x14ac:dyDescent="0.45">
      <c r="A118" t="s">
        <v>161</v>
      </c>
      <c r="B118" t="s">
        <v>1</v>
      </c>
      <c r="C118" t="s">
        <v>8</v>
      </c>
      <c r="D118" t="s">
        <v>3</v>
      </c>
      <c r="E118" t="s">
        <v>4</v>
      </c>
      <c r="F118" t="s">
        <v>5</v>
      </c>
      <c r="G118">
        <v>2014</v>
      </c>
      <c r="H118">
        <v>18649.5</v>
      </c>
      <c r="I118">
        <v>17855.2</v>
      </c>
      <c r="J118">
        <v>801</v>
      </c>
      <c r="K118">
        <v>9452.7000000000007</v>
      </c>
      <c r="L118">
        <v>50.68607737</v>
      </c>
      <c r="M118">
        <v>9196.7999999999993</v>
      </c>
      <c r="N118">
        <v>49.31392263</v>
      </c>
    </row>
    <row r="119" spans="1:14" x14ac:dyDescent="0.45">
      <c r="A119" t="s">
        <v>162</v>
      </c>
      <c r="B119" t="s">
        <v>1</v>
      </c>
      <c r="C119" t="s">
        <v>8</v>
      </c>
      <c r="D119" t="s">
        <v>3</v>
      </c>
      <c r="E119" t="s">
        <v>38</v>
      </c>
      <c r="F119" t="s">
        <v>35</v>
      </c>
      <c r="G119">
        <v>1983</v>
      </c>
      <c r="H119">
        <v>18627</v>
      </c>
      <c r="I119">
        <v>18557</v>
      </c>
      <c r="J119">
        <v>77.900000000000006</v>
      </c>
      <c r="K119">
        <v>18283.099999999999</v>
      </c>
      <c r="L119">
        <v>98.1537553</v>
      </c>
      <c r="M119">
        <v>343.9</v>
      </c>
      <c r="N119">
        <v>1.8462446990000001</v>
      </c>
    </row>
    <row r="120" spans="1:14" x14ac:dyDescent="0.45">
      <c r="A120" t="s">
        <v>163</v>
      </c>
      <c r="B120" t="s">
        <v>1</v>
      </c>
      <c r="C120" t="s">
        <v>8</v>
      </c>
      <c r="D120" t="s">
        <v>11</v>
      </c>
      <c r="E120" t="s">
        <v>12</v>
      </c>
      <c r="F120" t="s">
        <v>5</v>
      </c>
      <c r="G120">
        <v>2003</v>
      </c>
      <c r="H120">
        <v>18580.599999999999</v>
      </c>
      <c r="I120">
        <v>14990.8</v>
      </c>
      <c r="J120">
        <v>3601.2</v>
      </c>
      <c r="K120">
        <v>8321.9</v>
      </c>
      <c r="L120">
        <v>44.788112329999997</v>
      </c>
      <c r="M120">
        <v>10258.700000000001</v>
      </c>
      <c r="N120">
        <v>55.211887670000003</v>
      </c>
    </row>
    <row r="121" spans="1:14" x14ac:dyDescent="0.45">
      <c r="A121" t="s">
        <v>164</v>
      </c>
      <c r="B121" t="s">
        <v>1</v>
      </c>
      <c r="C121" t="s">
        <v>8</v>
      </c>
      <c r="D121" t="s">
        <v>3</v>
      </c>
      <c r="E121" t="s">
        <v>14</v>
      </c>
      <c r="F121" t="s">
        <v>5</v>
      </c>
      <c r="G121">
        <v>1994</v>
      </c>
      <c r="H121">
        <v>18413.2</v>
      </c>
      <c r="I121">
        <v>12525.4</v>
      </c>
      <c r="J121">
        <v>5896.3</v>
      </c>
      <c r="K121">
        <v>5222.1000000000004</v>
      </c>
      <c r="L121">
        <v>28.360632590000002</v>
      </c>
      <c r="M121">
        <v>13191.1</v>
      </c>
      <c r="N121">
        <v>71.639367410000006</v>
      </c>
    </row>
    <row r="122" spans="1:14" x14ac:dyDescent="0.45">
      <c r="A122" t="s">
        <v>165</v>
      </c>
      <c r="B122" t="s">
        <v>1</v>
      </c>
      <c r="C122" t="s">
        <v>8</v>
      </c>
      <c r="D122" t="s">
        <v>3</v>
      </c>
      <c r="E122" t="s">
        <v>9</v>
      </c>
      <c r="F122" t="s">
        <v>5</v>
      </c>
      <c r="G122">
        <v>2015</v>
      </c>
      <c r="H122">
        <v>18309.3</v>
      </c>
      <c r="I122">
        <v>14642.3</v>
      </c>
      <c r="J122">
        <v>3673.3</v>
      </c>
      <c r="K122">
        <v>8613.7000000000007</v>
      </c>
      <c r="L122">
        <v>47.045490540000003</v>
      </c>
      <c r="M122">
        <v>9695.6</v>
      </c>
      <c r="N122">
        <v>52.954509459999997</v>
      </c>
    </row>
    <row r="123" spans="1:14" x14ac:dyDescent="0.45">
      <c r="A123" t="s">
        <v>166</v>
      </c>
      <c r="B123" t="s">
        <v>1</v>
      </c>
      <c r="C123" t="s">
        <v>8</v>
      </c>
      <c r="D123" t="s">
        <v>3</v>
      </c>
      <c r="E123" t="s">
        <v>9</v>
      </c>
      <c r="F123" t="s">
        <v>5</v>
      </c>
      <c r="G123">
        <v>2002</v>
      </c>
      <c r="H123">
        <v>18270.8</v>
      </c>
      <c r="I123">
        <v>13165.8</v>
      </c>
      <c r="J123">
        <v>5114.8999999999996</v>
      </c>
      <c r="K123">
        <v>8899.2000000000007</v>
      </c>
      <c r="L123">
        <v>48.707226830000003</v>
      </c>
      <c r="M123">
        <v>9371.6</v>
      </c>
      <c r="N123">
        <v>51.292773169999997</v>
      </c>
    </row>
    <row r="124" spans="1:14" x14ac:dyDescent="0.45">
      <c r="A124" t="s">
        <v>167</v>
      </c>
      <c r="B124" t="s">
        <v>1</v>
      </c>
      <c r="C124" t="s">
        <v>168</v>
      </c>
      <c r="D124" t="s">
        <v>3</v>
      </c>
      <c r="E124" t="s">
        <v>47</v>
      </c>
      <c r="F124" t="s">
        <v>5</v>
      </c>
      <c r="G124">
        <v>1994</v>
      </c>
      <c r="H124">
        <v>18217.099999999999</v>
      </c>
      <c r="I124">
        <v>13653.1</v>
      </c>
      <c r="J124">
        <v>4569.1000000000004</v>
      </c>
      <c r="K124">
        <v>3490.5</v>
      </c>
      <c r="L124">
        <v>19.160568919999999</v>
      </c>
      <c r="M124">
        <v>14726.6</v>
      </c>
      <c r="N124">
        <v>80.839431079999997</v>
      </c>
    </row>
    <row r="125" spans="1:14" x14ac:dyDescent="0.45">
      <c r="A125" t="s">
        <v>169</v>
      </c>
      <c r="B125" t="s">
        <v>1</v>
      </c>
      <c r="C125" t="s">
        <v>170</v>
      </c>
      <c r="D125" t="s">
        <v>3</v>
      </c>
      <c r="E125" t="s">
        <v>171</v>
      </c>
      <c r="F125" t="s">
        <v>5</v>
      </c>
      <c r="G125">
        <v>1996</v>
      </c>
      <c r="H125">
        <v>18203.3</v>
      </c>
      <c r="I125">
        <v>9674.9</v>
      </c>
      <c r="J125">
        <v>8539.4</v>
      </c>
      <c r="K125">
        <v>4460.6000000000004</v>
      </c>
      <c r="L125">
        <v>24.504348109999999</v>
      </c>
      <c r="M125">
        <v>13742.7</v>
      </c>
      <c r="N125">
        <v>75.495651890000005</v>
      </c>
    </row>
    <row r="126" spans="1:14" x14ac:dyDescent="0.45">
      <c r="A126" t="s">
        <v>172</v>
      </c>
      <c r="B126" t="s">
        <v>1</v>
      </c>
      <c r="C126" t="s">
        <v>8</v>
      </c>
      <c r="D126" t="s">
        <v>3</v>
      </c>
      <c r="E126" t="s">
        <v>4</v>
      </c>
      <c r="F126" t="s">
        <v>5</v>
      </c>
      <c r="G126">
        <v>2008</v>
      </c>
      <c r="H126">
        <v>18064.3</v>
      </c>
      <c r="I126">
        <v>7403</v>
      </c>
      <c r="J126">
        <v>10664.8</v>
      </c>
      <c r="K126">
        <v>2757.4</v>
      </c>
      <c r="L126">
        <v>15.2643612</v>
      </c>
      <c r="M126">
        <v>15306.9</v>
      </c>
      <c r="N126">
        <v>84.735638800000004</v>
      </c>
    </row>
    <row r="127" spans="1:14" x14ac:dyDescent="0.45">
      <c r="A127" t="s">
        <v>173</v>
      </c>
      <c r="B127" t="s">
        <v>7</v>
      </c>
      <c r="C127" t="s">
        <v>29</v>
      </c>
      <c r="D127" t="s">
        <v>3</v>
      </c>
      <c r="E127" t="s">
        <v>14</v>
      </c>
      <c r="F127" t="s">
        <v>5</v>
      </c>
      <c r="G127">
        <v>2012</v>
      </c>
      <c r="H127">
        <v>18005.3</v>
      </c>
      <c r="I127">
        <v>10367</v>
      </c>
      <c r="J127">
        <v>7646.6</v>
      </c>
      <c r="K127">
        <v>7259.1</v>
      </c>
      <c r="L127">
        <v>40.316462370000004</v>
      </c>
      <c r="M127">
        <v>10746.2</v>
      </c>
      <c r="N127">
        <v>59.683537629999996</v>
      </c>
    </row>
    <row r="128" spans="1:14" x14ac:dyDescent="0.45">
      <c r="A128" t="s">
        <v>174</v>
      </c>
      <c r="B128" t="s">
        <v>1</v>
      </c>
      <c r="C128" t="s">
        <v>8</v>
      </c>
      <c r="D128" t="s">
        <v>3</v>
      </c>
      <c r="E128" t="s">
        <v>4</v>
      </c>
      <c r="F128" t="s">
        <v>5</v>
      </c>
      <c r="G128">
        <v>2009</v>
      </c>
      <c r="H128">
        <v>17738.8</v>
      </c>
      <c r="I128">
        <v>11748.1</v>
      </c>
      <c r="J128">
        <v>5997.1</v>
      </c>
      <c r="K128">
        <v>7693.4</v>
      </c>
      <c r="L128">
        <v>43.370464740000003</v>
      </c>
      <c r="M128">
        <v>10045.4</v>
      </c>
      <c r="N128">
        <v>56.629535259999997</v>
      </c>
    </row>
    <row r="129" spans="1:14" x14ac:dyDescent="0.45">
      <c r="A129" t="s">
        <v>175</v>
      </c>
      <c r="B129" t="s">
        <v>1</v>
      </c>
      <c r="C129" t="s">
        <v>8</v>
      </c>
      <c r="D129" t="s">
        <v>3</v>
      </c>
      <c r="E129" t="s">
        <v>9</v>
      </c>
      <c r="F129" t="s">
        <v>5</v>
      </c>
      <c r="G129">
        <v>2009</v>
      </c>
      <c r="H129">
        <v>17720.2</v>
      </c>
      <c r="I129">
        <v>13610.1</v>
      </c>
      <c r="J129">
        <v>4116.2</v>
      </c>
      <c r="K129">
        <v>8342.7000000000007</v>
      </c>
      <c r="L129">
        <v>47.080168399999998</v>
      </c>
      <c r="M129">
        <v>9377.5</v>
      </c>
      <c r="N129">
        <v>52.919831600000002</v>
      </c>
    </row>
    <row r="130" spans="1:14" x14ac:dyDescent="0.45">
      <c r="A130" t="s">
        <v>176</v>
      </c>
      <c r="B130" t="s">
        <v>7</v>
      </c>
      <c r="C130" t="s">
        <v>32</v>
      </c>
      <c r="D130" t="s">
        <v>33</v>
      </c>
      <c r="E130" t="s">
        <v>34</v>
      </c>
      <c r="F130" t="s">
        <v>35</v>
      </c>
      <c r="G130">
        <v>2016</v>
      </c>
      <c r="H130">
        <v>17517.400000000001</v>
      </c>
      <c r="I130">
        <v>7595.2</v>
      </c>
      <c r="J130">
        <v>9927.7999999999993</v>
      </c>
      <c r="K130">
        <v>15415.4</v>
      </c>
      <c r="L130">
        <v>88.000502359999999</v>
      </c>
      <c r="M130">
        <v>2102</v>
      </c>
      <c r="N130">
        <v>11.99949764</v>
      </c>
    </row>
    <row r="131" spans="1:14" x14ac:dyDescent="0.45">
      <c r="A131" t="s">
        <v>177</v>
      </c>
      <c r="B131" t="s">
        <v>1</v>
      </c>
      <c r="C131" t="s">
        <v>8</v>
      </c>
      <c r="D131" t="s">
        <v>11</v>
      </c>
      <c r="E131" t="s">
        <v>12</v>
      </c>
      <c r="F131" t="s">
        <v>5</v>
      </c>
      <c r="G131">
        <v>2017</v>
      </c>
      <c r="H131">
        <v>17516.099999999999</v>
      </c>
      <c r="I131">
        <v>16311.4</v>
      </c>
      <c r="J131">
        <v>1210.7</v>
      </c>
      <c r="K131">
        <v>2137.8000000000002</v>
      </c>
      <c r="L131">
        <v>12.20477161</v>
      </c>
      <c r="M131">
        <v>15378.3</v>
      </c>
      <c r="N131">
        <v>87.795228390000005</v>
      </c>
    </row>
    <row r="132" spans="1:14" x14ac:dyDescent="0.45">
      <c r="A132" t="s">
        <v>178</v>
      </c>
      <c r="B132" t="s">
        <v>7</v>
      </c>
      <c r="C132" t="s">
        <v>8</v>
      </c>
      <c r="D132" t="s">
        <v>3</v>
      </c>
      <c r="E132" t="s">
        <v>9</v>
      </c>
      <c r="F132" t="s">
        <v>5</v>
      </c>
      <c r="G132">
        <v>2014</v>
      </c>
      <c r="H132">
        <v>17440.2</v>
      </c>
      <c r="I132">
        <v>5933.3</v>
      </c>
      <c r="J132">
        <v>11512.1</v>
      </c>
      <c r="K132">
        <v>2784</v>
      </c>
      <c r="L132">
        <v>15.963119689999999</v>
      </c>
      <c r="M132">
        <v>14656.2</v>
      </c>
      <c r="N132">
        <v>84.036880310000001</v>
      </c>
    </row>
    <row r="133" spans="1:14" x14ac:dyDescent="0.45">
      <c r="A133" t="s">
        <v>179</v>
      </c>
      <c r="B133" t="s">
        <v>1</v>
      </c>
      <c r="C133" t="s">
        <v>46</v>
      </c>
      <c r="D133" t="s">
        <v>3</v>
      </c>
      <c r="E133" t="s">
        <v>47</v>
      </c>
      <c r="F133" t="s">
        <v>35</v>
      </c>
      <c r="G133">
        <v>1994</v>
      </c>
      <c r="H133">
        <v>17316.599999999999</v>
      </c>
      <c r="I133">
        <v>10309.700000000001</v>
      </c>
      <c r="J133">
        <v>7013.9</v>
      </c>
      <c r="K133">
        <v>6283</v>
      </c>
      <c r="L133">
        <v>36.28310407</v>
      </c>
      <c r="M133">
        <v>11033.6</v>
      </c>
      <c r="N133">
        <v>63.71689593</v>
      </c>
    </row>
    <row r="134" spans="1:14" x14ac:dyDescent="0.45">
      <c r="A134" t="s">
        <v>180</v>
      </c>
      <c r="B134" t="s">
        <v>1</v>
      </c>
      <c r="C134" t="s">
        <v>76</v>
      </c>
      <c r="D134" t="s">
        <v>11</v>
      </c>
      <c r="E134" t="s">
        <v>69</v>
      </c>
      <c r="F134" t="s">
        <v>5</v>
      </c>
      <c r="G134">
        <v>1982</v>
      </c>
      <c r="H134">
        <v>17314.099999999999</v>
      </c>
      <c r="I134">
        <v>17301.5</v>
      </c>
      <c r="J134">
        <v>20</v>
      </c>
      <c r="K134">
        <v>17281</v>
      </c>
      <c r="L134">
        <v>99.808826330000002</v>
      </c>
      <c r="M134">
        <v>33.1</v>
      </c>
      <c r="N134">
        <v>0.19117366769999999</v>
      </c>
    </row>
    <row r="135" spans="1:14" x14ac:dyDescent="0.45">
      <c r="A135" t="s">
        <v>181</v>
      </c>
      <c r="B135" t="s">
        <v>7</v>
      </c>
      <c r="C135" t="s">
        <v>8</v>
      </c>
      <c r="D135" t="s">
        <v>3</v>
      </c>
      <c r="E135" t="s">
        <v>9</v>
      </c>
      <c r="F135" t="s">
        <v>5</v>
      </c>
      <c r="G135">
        <v>2008</v>
      </c>
      <c r="H135">
        <v>17119.5</v>
      </c>
      <c r="I135">
        <v>11625.6</v>
      </c>
      <c r="J135">
        <v>5498.6</v>
      </c>
      <c r="K135">
        <v>10006</v>
      </c>
      <c r="L135">
        <v>58.447968690000003</v>
      </c>
      <c r="M135">
        <v>7113.5</v>
      </c>
      <c r="N135">
        <v>41.552031309999997</v>
      </c>
    </row>
    <row r="136" spans="1:14" x14ac:dyDescent="0.45">
      <c r="A136" t="s">
        <v>182</v>
      </c>
      <c r="B136" t="s">
        <v>1</v>
      </c>
      <c r="C136" t="s">
        <v>183</v>
      </c>
      <c r="D136" t="s">
        <v>3</v>
      </c>
      <c r="E136" t="s">
        <v>14</v>
      </c>
      <c r="F136" t="s">
        <v>5</v>
      </c>
      <c r="G136">
        <v>2004</v>
      </c>
      <c r="H136">
        <v>17056</v>
      </c>
      <c r="I136">
        <v>8007.4</v>
      </c>
      <c r="J136">
        <v>9059.5</v>
      </c>
      <c r="K136">
        <v>4403.1000000000004</v>
      </c>
      <c r="L136">
        <v>25.81554878</v>
      </c>
      <c r="M136">
        <v>12652.9</v>
      </c>
      <c r="N136">
        <v>74.18445122</v>
      </c>
    </row>
    <row r="137" spans="1:14" x14ac:dyDescent="0.45">
      <c r="A137" t="s">
        <v>184</v>
      </c>
      <c r="B137" t="s">
        <v>1</v>
      </c>
      <c r="C137" t="s">
        <v>81</v>
      </c>
      <c r="D137" t="s">
        <v>3</v>
      </c>
      <c r="E137" t="s">
        <v>38</v>
      </c>
      <c r="F137" t="s">
        <v>35</v>
      </c>
      <c r="G137">
        <v>1975</v>
      </c>
      <c r="H137">
        <v>17010.5</v>
      </c>
      <c r="I137">
        <v>17018</v>
      </c>
      <c r="J137">
        <v>0</v>
      </c>
      <c r="K137">
        <v>17010.5</v>
      </c>
      <c r="L137">
        <v>100</v>
      </c>
      <c r="M137">
        <v>0</v>
      </c>
      <c r="N137">
        <v>0</v>
      </c>
    </row>
    <row r="138" spans="1:14" x14ac:dyDescent="0.45">
      <c r="A138" t="s">
        <v>185</v>
      </c>
      <c r="B138" t="s">
        <v>1</v>
      </c>
      <c r="C138" t="s">
        <v>29</v>
      </c>
      <c r="D138" t="s">
        <v>11</v>
      </c>
      <c r="E138" t="s">
        <v>69</v>
      </c>
      <c r="F138" t="s">
        <v>5</v>
      </c>
      <c r="G138">
        <v>2013</v>
      </c>
      <c r="H138">
        <v>16984.3</v>
      </c>
      <c r="I138">
        <v>10969.8</v>
      </c>
      <c r="J138">
        <v>6018.9</v>
      </c>
      <c r="K138">
        <v>4419.3</v>
      </c>
      <c r="L138">
        <v>26.019912510000001</v>
      </c>
      <c r="M138">
        <v>12565</v>
      </c>
      <c r="N138">
        <v>73.980087490000003</v>
      </c>
    </row>
    <row r="139" spans="1:14" x14ac:dyDescent="0.45">
      <c r="A139" t="s">
        <v>186</v>
      </c>
      <c r="B139" t="s">
        <v>1</v>
      </c>
      <c r="C139" t="s">
        <v>76</v>
      </c>
      <c r="D139" t="s">
        <v>11</v>
      </c>
      <c r="E139" t="s">
        <v>77</v>
      </c>
      <c r="F139" t="s">
        <v>5</v>
      </c>
      <c r="G139">
        <v>2010</v>
      </c>
      <c r="H139">
        <v>16969.400000000001</v>
      </c>
      <c r="I139">
        <v>10480.799999999999</v>
      </c>
      <c r="J139">
        <v>6497.7</v>
      </c>
      <c r="K139">
        <v>7429.1</v>
      </c>
      <c r="L139">
        <v>43.779391140000001</v>
      </c>
      <c r="M139">
        <v>9540.2999999999993</v>
      </c>
      <c r="N139">
        <v>56.220608859999999</v>
      </c>
    </row>
    <row r="140" spans="1:14" x14ac:dyDescent="0.45">
      <c r="A140" t="s">
        <v>187</v>
      </c>
      <c r="B140" t="s">
        <v>1</v>
      </c>
      <c r="C140" t="s">
        <v>147</v>
      </c>
      <c r="D140" t="s">
        <v>3</v>
      </c>
      <c r="E140" t="s">
        <v>47</v>
      </c>
      <c r="F140" t="s">
        <v>5</v>
      </c>
      <c r="G140">
        <v>2014</v>
      </c>
      <c r="H140">
        <v>16893.400000000001</v>
      </c>
      <c r="I140">
        <v>13879.3</v>
      </c>
      <c r="J140">
        <v>3019.1</v>
      </c>
      <c r="K140">
        <v>5321.5</v>
      </c>
      <c r="L140">
        <v>31.50046764</v>
      </c>
      <c r="M140">
        <v>11571.9</v>
      </c>
      <c r="N140">
        <v>68.499532360000003</v>
      </c>
    </row>
    <row r="141" spans="1:14" x14ac:dyDescent="0.45">
      <c r="A141" t="s">
        <v>188</v>
      </c>
      <c r="B141" t="s">
        <v>1</v>
      </c>
      <c r="C141" t="s">
        <v>8</v>
      </c>
      <c r="D141" t="s">
        <v>3</v>
      </c>
      <c r="E141" t="s">
        <v>4</v>
      </c>
      <c r="F141" t="s">
        <v>5</v>
      </c>
      <c r="G141">
        <v>2016</v>
      </c>
      <c r="H141">
        <v>16877.3</v>
      </c>
      <c r="I141">
        <v>11425.9</v>
      </c>
      <c r="J141">
        <v>5455.1</v>
      </c>
      <c r="K141">
        <v>6395.3</v>
      </c>
      <c r="L141">
        <v>37.892909410000001</v>
      </c>
      <c r="M141">
        <v>10482</v>
      </c>
      <c r="N141">
        <v>62.107090589999999</v>
      </c>
    </row>
    <row r="142" spans="1:14" x14ac:dyDescent="0.45">
      <c r="A142" t="s">
        <v>189</v>
      </c>
      <c r="B142" t="s">
        <v>65</v>
      </c>
      <c r="C142" t="s">
        <v>20</v>
      </c>
      <c r="D142" t="s">
        <v>3</v>
      </c>
      <c r="E142" t="s">
        <v>38</v>
      </c>
      <c r="F142" t="s">
        <v>35</v>
      </c>
      <c r="G142">
        <v>1967</v>
      </c>
      <c r="H142">
        <v>16577.5</v>
      </c>
      <c r="I142">
        <v>16577.5</v>
      </c>
      <c r="J142">
        <v>0.4</v>
      </c>
      <c r="K142">
        <v>16567.400000000001</v>
      </c>
      <c r="L142">
        <v>99.939074050000002</v>
      </c>
      <c r="M142">
        <v>10.1</v>
      </c>
      <c r="N142">
        <v>6.0925953849999999E-2</v>
      </c>
    </row>
    <row r="143" spans="1:14" x14ac:dyDescent="0.45">
      <c r="A143" t="s">
        <v>190</v>
      </c>
      <c r="B143" t="s">
        <v>1</v>
      </c>
      <c r="C143" t="s">
        <v>191</v>
      </c>
      <c r="D143" t="s">
        <v>3</v>
      </c>
      <c r="E143" t="s">
        <v>38</v>
      </c>
      <c r="F143" t="s">
        <v>5</v>
      </c>
      <c r="G143">
        <v>2013</v>
      </c>
      <c r="H143">
        <v>16556.5</v>
      </c>
      <c r="I143">
        <v>15920.4</v>
      </c>
      <c r="J143">
        <v>641.79999999999995</v>
      </c>
      <c r="K143">
        <v>15519.5</v>
      </c>
      <c r="L143">
        <v>93.736598920000006</v>
      </c>
      <c r="M143">
        <v>1037</v>
      </c>
      <c r="N143">
        <v>6.2634010809999996</v>
      </c>
    </row>
    <row r="144" spans="1:14" x14ac:dyDescent="0.45">
      <c r="A144" t="s">
        <v>192</v>
      </c>
      <c r="B144" t="s">
        <v>7</v>
      </c>
      <c r="C144" t="s">
        <v>20</v>
      </c>
      <c r="D144" t="s">
        <v>3</v>
      </c>
      <c r="E144" t="s">
        <v>9</v>
      </c>
      <c r="F144" t="s">
        <v>5</v>
      </c>
      <c r="G144">
        <v>2009</v>
      </c>
      <c r="H144">
        <v>16553.3</v>
      </c>
      <c r="I144">
        <v>11362.1</v>
      </c>
      <c r="J144">
        <v>5197.6000000000004</v>
      </c>
      <c r="K144">
        <v>8685.9</v>
      </c>
      <c r="L144">
        <v>52.4723167</v>
      </c>
      <c r="M144">
        <v>7867.4</v>
      </c>
      <c r="N144">
        <v>47.5276833</v>
      </c>
    </row>
    <row r="145" spans="1:14" x14ac:dyDescent="0.45">
      <c r="A145" t="s">
        <v>193</v>
      </c>
      <c r="B145" t="s">
        <v>1</v>
      </c>
      <c r="C145" t="s">
        <v>20</v>
      </c>
      <c r="D145" t="s">
        <v>3</v>
      </c>
      <c r="E145" t="s">
        <v>38</v>
      </c>
      <c r="F145" t="s">
        <v>35</v>
      </c>
      <c r="G145">
        <v>1992</v>
      </c>
      <c r="H145">
        <v>16454.900000000001</v>
      </c>
      <c r="I145">
        <v>16461.5</v>
      </c>
      <c r="J145">
        <v>3</v>
      </c>
      <c r="K145">
        <v>16382.5</v>
      </c>
      <c r="L145">
        <v>99.560009480000005</v>
      </c>
      <c r="M145">
        <v>72.400000000000006</v>
      </c>
      <c r="N145">
        <v>0.43999051950000001</v>
      </c>
    </row>
    <row r="146" spans="1:14" x14ac:dyDescent="0.45">
      <c r="A146" t="s">
        <v>194</v>
      </c>
      <c r="B146" t="s">
        <v>1</v>
      </c>
      <c r="C146" t="s">
        <v>8</v>
      </c>
      <c r="D146" t="s">
        <v>3</v>
      </c>
      <c r="E146" t="s">
        <v>4</v>
      </c>
      <c r="F146" t="s">
        <v>5</v>
      </c>
      <c r="G146">
        <v>2007</v>
      </c>
      <c r="H146">
        <v>16428.900000000001</v>
      </c>
      <c r="I146">
        <v>12009.4</v>
      </c>
      <c r="J146">
        <v>4364.5</v>
      </c>
      <c r="K146">
        <v>2139</v>
      </c>
      <c r="L146">
        <v>13.01973961</v>
      </c>
      <c r="M146">
        <v>14289.9</v>
      </c>
      <c r="N146">
        <v>86.980260389999998</v>
      </c>
    </row>
    <row r="147" spans="1:14" x14ac:dyDescent="0.45">
      <c r="A147" t="s">
        <v>195</v>
      </c>
      <c r="B147" t="s">
        <v>1</v>
      </c>
      <c r="C147" t="s">
        <v>8</v>
      </c>
      <c r="D147" t="s">
        <v>3</v>
      </c>
      <c r="E147" t="s">
        <v>4</v>
      </c>
      <c r="F147" t="s">
        <v>5</v>
      </c>
      <c r="G147">
        <v>2007</v>
      </c>
      <c r="H147">
        <v>16366.1</v>
      </c>
      <c r="I147">
        <v>14784.2</v>
      </c>
      <c r="J147">
        <v>1492.7</v>
      </c>
      <c r="K147">
        <v>4359.8</v>
      </c>
      <c r="L147">
        <v>26.639211540000002</v>
      </c>
      <c r="M147">
        <v>12006.3</v>
      </c>
      <c r="N147">
        <v>73.360788459999995</v>
      </c>
    </row>
    <row r="148" spans="1:14" x14ac:dyDescent="0.45">
      <c r="A148" t="s">
        <v>196</v>
      </c>
      <c r="B148" t="s">
        <v>7</v>
      </c>
      <c r="C148" t="s">
        <v>8</v>
      </c>
      <c r="D148" t="s">
        <v>3</v>
      </c>
      <c r="E148" t="s">
        <v>9</v>
      </c>
      <c r="F148" t="s">
        <v>5</v>
      </c>
      <c r="G148">
        <v>2000</v>
      </c>
      <c r="H148">
        <v>16271.6</v>
      </c>
      <c r="I148">
        <v>7125.4</v>
      </c>
      <c r="J148">
        <v>9125</v>
      </c>
      <c r="K148">
        <v>11023</v>
      </c>
      <c r="L148">
        <v>67.743799010000004</v>
      </c>
      <c r="M148">
        <v>5248.6</v>
      </c>
      <c r="N148">
        <v>32.256200990000004</v>
      </c>
    </row>
    <row r="149" spans="1:14" x14ac:dyDescent="0.45">
      <c r="A149" t="s">
        <v>197</v>
      </c>
      <c r="B149" t="s">
        <v>1</v>
      </c>
      <c r="C149" t="s">
        <v>8</v>
      </c>
      <c r="D149" t="s">
        <v>3</v>
      </c>
      <c r="E149" t="s">
        <v>38</v>
      </c>
      <c r="F149" t="s">
        <v>35</v>
      </c>
      <c r="G149">
        <v>1989</v>
      </c>
      <c r="H149">
        <v>16228.7</v>
      </c>
      <c r="I149">
        <v>16236</v>
      </c>
      <c r="J149">
        <v>0</v>
      </c>
      <c r="K149">
        <v>16228.7</v>
      </c>
      <c r="L149">
        <v>100</v>
      </c>
      <c r="M149">
        <v>0</v>
      </c>
      <c r="N149">
        <v>0</v>
      </c>
    </row>
    <row r="150" spans="1:14" x14ac:dyDescent="0.45">
      <c r="A150" t="s">
        <v>198</v>
      </c>
      <c r="B150" t="s">
        <v>1</v>
      </c>
      <c r="C150" t="s">
        <v>8</v>
      </c>
      <c r="D150" t="s">
        <v>3</v>
      </c>
      <c r="E150" t="s">
        <v>4</v>
      </c>
      <c r="F150" t="s">
        <v>5</v>
      </c>
      <c r="G150">
        <v>2018</v>
      </c>
      <c r="H150">
        <v>16217.4</v>
      </c>
      <c r="I150">
        <v>14631.5</v>
      </c>
      <c r="J150">
        <v>1588.4</v>
      </c>
      <c r="K150">
        <v>7841.6</v>
      </c>
      <c r="L150">
        <v>48.353003559999998</v>
      </c>
      <c r="M150">
        <v>8375.7999999999993</v>
      </c>
      <c r="N150">
        <v>51.646996440000002</v>
      </c>
    </row>
    <row r="151" spans="1:14" x14ac:dyDescent="0.45">
      <c r="A151" t="s">
        <v>199</v>
      </c>
      <c r="B151" t="s">
        <v>7</v>
      </c>
      <c r="C151" t="s">
        <v>8</v>
      </c>
      <c r="D151" t="s">
        <v>3</v>
      </c>
      <c r="E151" t="s">
        <v>9</v>
      </c>
      <c r="F151" t="s">
        <v>5</v>
      </c>
      <c r="G151">
        <v>1998</v>
      </c>
      <c r="H151">
        <v>16148.3</v>
      </c>
      <c r="I151">
        <v>14108.3</v>
      </c>
      <c r="J151">
        <v>2048.1</v>
      </c>
      <c r="K151">
        <v>13480.8</v>
      </c>
      <c r="L151">
        <v>83.481233320000001</v>
      </c>
      <c r="M151">
        <v>2667.5</v>
      </c>
      <c r="N151">
        <v>16.518766679999999</v>
      </c>
    </row>
    <row r="152" spans="1:14" x14ac:dyDescent="0.45">
      <c r="A152" t="s">
        <v>200</v>
      </c>
      <c r="B152" t="s">
        <v>1</v>
      </c>
      <c r="C152" t="s">
        <v>20</v>
      </c>
      <c r="D152" t="s">
        <v>3</v>
      </c>
      <c r="E152" t="s">
        <v>9</v>
      </c>
      <c r="F152" t="s">
        <v>5</v>
      </c>
      <c r="G152">
        <v>2012</v>
      </c>
      <c r="H152">
        <v>16111.6</v>
      </c>
      <c r="I152">
        <v>14817.7</v>
      </c>
      <c r="J152">
        <v>1297.5999999999999</v>
      </c>
      <c r="K152">
        <v>12881.3</v>
      </c>
      <c r="L152">
        <v>79.950470469999999</v>
      </c>
      <c r="M152">
        <v>3230.3</v>
      </c>
      <c r="N152">
        <v>20.049529530000001</v>
      </c>
    </row>
    <row r="153" spans="1:14" x14ac:dyDescent="0.45">
      <c r="A153" t="s">
        <v>201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>
        <v>2009</v>
      </c>
      <c r="H153">
        <v>16021.1</v>
      </c>
      <c r="I153">
        <v>11602.1</v>
      </c>
      <c r="J153">
        <v>4424.8</v>
      </c>
      <c r="K153">
        <v>8229.4</v>
      </c>
      <c r="L153">
        <v>51.366011069999999</v>
      </c>
      <c r="M153">
        <v>7791.7</v>
      </c>
      <c r="N153">
        <v>48.633988930000001</v>
      </c>
    </row>
    <row r="154" spans="1:14" x14ac:dyDescent="0.45">
      <c r="A154" t="s">
        <v>202</v>
      </c>
      <c r="B154" t="s">
        <v>1</v>
      </c>
      <c r="C154" t="s">
        <v>8</v>
      </c>
      <c r="D154" t="s">
        <v>3</v>
      </c>
      <c r="E154" t="s">
        <v>4</v>
      </c>
      <c r="F154" t="s">
        <v>5</v>
      </c>
      <c r="G154">
        <v>2006</v>
      </c>
      <c r="H154">
        <v>15952.2</v>
      </c>
      <c r="I154">
        <v>4000.7</v>
      </c>
      <c r="J154">
        <v>11957.2</v>
      </c>
      <c r="K154">
        <v>2951.3</v>
      </c>
      <c r="L154">
        <v>18.500896430000001</v>
      </c>
      <c r="M154">
        <v>13000.9</v>
      </c>
      <c r="N154">
        <v>81.499103570000003</v>
      </c>
    </row>
    <row r="155" spans="1:14" x14ac:dyDescent="0.45">
      <c r="A155" t="s">
        <v>203</v>
      </c>
      <c r="B155" t="s">
        <v>1</v>
      </c>
      <c r="C155" t="s">
        <v>46</v>
      </c>
      <c r="D155" t="s">
        <v>3</v>
      </c>
      <c r="E155" t="s">
        <v>47</v>
      </c>
      <c r="F155" t="s">
        <v>5</v>
      </c>
      <c r="G155">
        <v>2013</v>
      </c>
      <c r="H155">
        <v>15921.1</v>
      </c>
      <c r="I155">
        <v>12030.1</v>
      </c>
      <c r="J155">
        <v>3896.3</v>
      </c>
      <c r="K155">
        <v>527.5</v>
      </c>
      <c r="L155">
        <v>3.3132132830000001</v>
      </c>
      <c r="M155">
        <v>15393.6</v>
      </c>
      <c r="N155">
        <v>96.686786720000001</v>
      </c>
    </row>
    <row r="156" spans="1:14" x14ac:dyDescent="0.45">
      <c r="A156" t="s">
        <v>204</v>
      </c>
      <c r="B156" t="s">
        <v>1</v>
      </c>
      <c r="C156" t="s">
        <v>2</v>
      </c>
      <c r="D156" t="s">
        <v>3</v>
      </c>
      <c r="E156" t="s">
        <v>14</v>
      </c>
      <c r="F156" t="s">
        <v>5</v>
      </c>
      <c r="G156">
        <v>2014</v>
      </c>
      <c r="H156">
        <v>15876.2</v>
      </c>
      <c r="I156">
        <v>12905.1</v>
      </c>
      <c r="J156">
        <v>2982.4</v>
      </c>
      <c r="K156">
        <v>7353.2</v>
      </c>
      <c r="L156">
        <v>46.315869040000003</v>
      </c>
      <c r="M156">
        <v>8523</v>
      </c>
      <c r="N156">
        <v>53.684130959999997</v>
      </c>
    </row>
    <row r="157" spans="1:14" x14ac:dyDescent="0.45">
      <c r="A157" t="s">
        <v>205</v>
      </c>
      <c r="B157" t="s">
        <v>65</v>
      </c>
      <c r="C157" t="s">
        <v>8</v>
      </c>
      <c r="D157" t="s">
        <v>3</v>
      </c>
      <c r="E157" t="s">
        <v>4</v>
      </c>
      <c r="F157" t="s">
        <v>35</v>
      </c>
      <c r="G157">
        <v>1998</v>
      </c>
      <c r="H157">
        <v>15775.7</v>
      </c>
      <c r="I157">
        <v>15257.4</v>
      </c>
      <c r="J157">
        <v>527.70000000000005</v>
      </c>
      <c r="K157">
        <v>11623</v>
      </c>
      <c r="L157">
        <v>73.676603889999996</v>
      </c>
      <c r="M157">
        <v>4152.7</v>
      </c>
      <c r="N157">
        <v>26.323396110000001</v>
      </c>
    </row>
    <row r="158" spans="1:14" x14ac:dyDescent="0.45">
      <c r="A158" t="s">
        <v>206</v>
      </c>
      <c r="B158" t="s">
        <v>1</v>
      </c>
      <c r="C158" t="s">
        <v>8</v>
      </c>
      <c r="D158" t="s">
        <v>3</v>
      </c>
      <c r="E158" t="s">
        <v>4</v>
      </c>
      <c r="F158" t="s">
        <v>5</v>
      </c>
      <c r="G158">
        <v>2010</v>
      </c>
      <c r="H158">
        <v>15746</v>
      </c>
      <c r="I158">
        <v>502.4</v>
      </c>
      <c r="J158">
        <v>15243.6</v>
      </c>
      <c r="K158">
        <v>142.80000000000001</v>
      </c>
      <c r="L158">
        <v>0.90689698969999999</v>
      </c>
      <c r="M158">
        <v>15603.2</v>
      </c>
      <c r="N158">
        <v>99.093103009999993</v>
      </c>
    </row>
    <row r="159" spans="1:14" x14ac:dyDescent="0.45">
      <c r="A159" t="s">
        <v>207</v>
      </c>
      <c r="B159" t="s">
        <v>7</v>
      </c>
      <c r="C159" t="s">
        <v>58</v>
      </c>
      <c r="D159" t="s">
        <v>59</v>
      </c>
      <c r="E159" t="s">
        <v>60</v>
      </c>
      <c r="F159" t="s">
        <v>5</v>
      </c>
      <c r="G159">
        <v>2002</v>
      </c>
      <c r="H159">
        <v>15723</v>
      </c>
      <c r="I159">
        <v>2035.3</v>
      </c>
      <c r="J159">
        <v>13703.9</v>
      </c>
      <c r="K159">
        <v>690.5</v>
      </c>
      <c r="L159">
        <v>4.391655536</v>
      </c>
      <c r="M159">
        <v>15032.5</v>
      </c>
      <c r="N159">
        <v>95.608344459999998</v>
      </c>
    </row>
    <row r="160" spans="1:14" x14ac:dyDescent="0.45">
      <c r="A160" t="s">
        <v>208</v>
      </c>
      <c r="B160" t="s">
        <v>1</v>
      </c>
      <c r="C160" t="s">
        <v>209</v>
      </c>
      <c r="D160" t="s">
        <v>11</v>
      </c>
      <c r="E160" t="s">
        <v>4</v>
      </c>
      <c r="F160" t="s">
        <v>5</v>
      </c>
      <c r="G160">
        <v>2016</v>
      </c>
      <c r="H160">
        <v>15684.7</v>
      </c>
      <c r="I160">
        <v>7885.7</v>
      </c>
      <c r="J160">
        <v>7799</v>
      </c>
      <c r="K160">
        <v>3430.6</v>
      </c>
      <c r="L160">
        <v>21.87227043</v>
      </c>
      <c r="M160">
        <v>12254.1</v>
      </c>
      <c r="N160">
        <v>78.12772957</v>
      </c>
    </row>
    <row r="161" spans="1:14" x14ac:dyDescent="0.45">
      <c r="A161" t="s">
        <v>210</v>
      </c>
      <c r="B161" t="s">
        <v>1</v>
      </c>
      <c r="C161" t="s">
        <v>209</v>
      </c>
      <c r="D161" t="s">
        <v>11</v>
      </c>
      <c r="E161" t="s">
        <v>69</v>
      </c>
      <c r="F161" t="s">
        <v>5</v>
      </c>
      <c r="G161">
        <v>2017</v>
      </c>
      <c r="H161">
        <v>15638.8</v>
      </c>
      <c r="I161">
        <v>13216.1</v>
      </c>
      <c r="J161">
        <v>2427.1999999999998</v>
      </c>
      <c r="K161">
        <v>84.5</v>
      </c>
      <c r="L161">
        <v>0.54032278690000002</v>
      </c>
      <c r="M161">
        <v>15554.3</v>
      </c>
      <c r="N161">
        <v>99.459677209999995</v>
      </c>
    </row>
    <row r="162" spans="1:14" x14ac:dyDescent="0.45">
      <c r="A162" t="s">
        <v>211</v>
      </c>
      <c r="B162" t="s">
        <v>1</v>
      </c>
      <c r="C162" t="s">
        <v>8</v>
      </c>
      <c r="D162" t="s">
        <v>3</v>
      </c>
      <c r="E162" t="s">
        <v>4</v>
      </c>
      <c r="F162" t="s">
        <v>35</v>
      </c>
      <c r="G162">
        <v>2013</v>
      </c>
      <c r="H162">
        <v>15562.1</v>
      </c>
      <c r="I162">
        <v>13694</v>
      </c>
      <c r="J162">
        <v>1874.1</v>
      </c>
      <c r="K162">
        <v>4814.8999999999996</v>
      </c>
      <c r="L162">
        <v>30.939911710000001</v>
      </c>
      <c r="M162">
        <v>10747.2</v>
      </c>
      <c r="N162">
        <v>69.060088289999996</v>
      </c>
    </row>
    <row r="163" spans="1:14" x14ac:dyDescent="0.45">
      <c r="A163" t="s">
        <v>212</v>
      </c>
      <c r="B163" t="s">
        <v>1</v>
      </c>
      <c r="C163" t="s">
        <v>81</v>
      </c>
      <c r="D163" t="s">
        <v>3</v>
      </c>
      <c r="E163" t="s">
        <v>4</v>
      </c>
      <c r="F163" t="s">
        <v>5</v>
      </c>
      <c r="G163">
        <v>2018</v>
      </c>
      <c r="H163">
        <v>15561.7</v>
      </c>
      <c r="I163">
        <v>10487.9</v>
      </c>
      <c r="J163">
        <v>5077.6000000000004</v>
      </c>
      <c r="K163">
        <v>6776.1</v>
      </c>
      <c r="L163">
        <v>43.543443199999999</v>
      </c>
      <c r="M163">
        <v>8785.6</v>
      </c>
      <c r="N163">
        <v>56.456556800000001</v>
      </c>
    </row>
    <row r="164" spans="1:14" x14ac:dyDescent="0.45">
      <c r="A164" t="s">
        <v>213</v>
      </c>
      <c r="B164" t="s">
        <v>7</v>
      </c>
      <c r="C164" t="s">
        <v>153</v>
      </c>
      <c r="D164" t="s">
        <v>154</v>
      </c>
      <c r="E164" t="s">
        <v>155</v>
      </c>
      <c r="F164" t="s">
        <v>5</v>
      </c>
      <c r="G164">
        <v>2011</v>
      </c>
      <c r="H164">
        <v>15528.2</v>
      </c>
      <c r="I164">
        <v>7743.7</v>
      </c>
      <c r="J164">
        <v>7783.6</v>
      </c>
      <c r="K164">
        <v>7736.5</v>
      </c>
      <c r="L164">
        <v>49.822258859999998</v>
      </c>
      <c r="M164">
        <v>7791.7</v>
      </c>
      <c r="N164">
        <v>50.177741140000002</v>
      </c>
    </row>
    <row r="165" spans="1:14" x14ac:dyDescent="0.45">
      <c r="A165" t="s">
        <v>214</v>
      </c>
      <c r="B165" t="s">
        <v>7</v>
      </c>
      <c r="C165" t="s">
        <v>153</v>
      </c>
      <c r="D165" t="s">
        <v>154</v>
      </c>
      <c r="E165" t="s">
        <v>9</v>
      </c>
      <c r="F165" t="s">
        <v>5</v>
      </c>
      <c r="G165">
        <v>2012</v>
      </c>
      <c r="H165">
        <v>15525.6</v>
      </c>
      <c r="I165">
        <v>11131.7</v>
      </c>
      <c r="J165">
        <v>4374.8</v>
      </c>
      <c r="K165">
        <v>3212</v>
      </c>
      <c r="L165">
        <v>20.6884114</v>
      </c>
      <c r="M165">
        <v>12313.6</v>
      </c>
      <c r="N165">
        <v>79.311588599999993</v>
      </c>
    </row>
    <row r="166" spans="1:14" x14ac:dyDescent="0.45">
      <c r="A166" t="s">
        <v>215</v>
      </c>
      <c r="B166" t="s">
        <v>1</v>
      </c>
      <c r="C166" t="s">
        <v>8</v>
      </c>
      <c r="D166" t="s">
        <v>3</v>
      </c>
      <c r="E166" t="s">
        <v>38</v>
      </c>
      <c r="F166" t="s">
        <v>35</v>
      </c>
      <c r="G166">
        <v>1990</v>
      </c>
      <c r="H166">
        <v>15453.3</v>
      </c>
      <c r="I166">
        <v>15342.6</v>
      </c>
      <c r="J166">
        <v>118.3</v>
      </c>
      <c r="K166">
        <v>15333.7</v>
      </c>
      <c r="L166">
        <v>99.226055279999997</v>
      </c>
      <c r="M166">
        <v>119.6</v>
      </c>
      <c r="N166">
        <v>0.77394472380000001</v>
      </c>
    </row>
    <row r="167" spans="1:14" x14ac:dyDescent="0.45">
      <c r="A167" t="s">
        <v>216</v>
      </c>
      <c r="B167" t="s">
        <v>1</v>
      </c>
      <c r="C167" t="s">
        <v>8</v>
      </c>
      <c r="D167" t="s">
        <v>3</v>
      </c>
      <c r="E167" t="s">
        <v>4</v>
      </c>
      <c r="F167" t="s">
        <v>5</v>
      </c>
      <c r="G167">
        <v>2011</v>
      </c>
      <c r="H167">
        <v>15329.4</v>
      </c>
      <c r="I167">
        <v>6848.7</v>
      </c>
      <c r="J167">
        <v>8480.7000000000007</v>
      </c>
      <c r="K167">
        <v>2898.8</v>
      </c>
      <c r="L167">
        <v>18.91006823</v>
      </c>
      <c r="M167">
        <v>12430.6</v>
      </c>
      <c r="N167">
        <v>81.089931770000007</v>
      </c>
    </row>
    <row r="168" spans="1:14" x14ac:dyDescent="0.45">
      <c r="A168" t="s">
        <v>217</v>
      </c>
      <c r="B168" t="s">
        <v>1</v>
      </c>
      <c r="C168" t="s">
        <v>8</v>
      </c>
      <c r="D168" t="s">
        <v>3</v>
      </c>
      <c r="E168" t="s">
        <v>4</v>
      </c>
      <c r="F168" t="s">
        <v>5</v>
      </c>
      <c r="G168">
        <v>2017</v>
      </c>
      <c r="H168">
        <v>15252.2</v>
      </c>
      <c r="I168">
        <v>13192.5</v>
      </c>
      <c r="J168">
        <v>2067.1</v>
      </c>
      <c r="K168">
        <v>7139.4</v>
      </c>
      <c r="L168">
        <v>46.808984930000001</v>
      </c>
      <c r="M168">
        <v>8112.8</v>
      </c>
      <c r="N168">
        <v>53.191015069999999</v>
      </c>
    </row>
    <row r="169" spans="1:14" x14ac:dyDescent="0.45">
      <c r="A169" t="s">
        <v>218</v>
      </c>
      <c r="B169" t="s">
        <v>1</v>
      </c>
      <c r="C169" t="s">
        <v>58</v>
      </c>
      <c r="D169" t="s">
        <v>219</v>
      </c>
      <c r="E169" t="s">
        <v>60</v>
      </c>
      <c r="F169" t="s">
        <v>5</v>
      </c>
      <c r="G169">
        <v>1992</v>
      </c>
      <c r="H169">
        <v>15240.4</v>
      </c>
      <c r="I169">
        <v>10857.5</v>
      </c>
      <c r="J169">
        <v>4397.5</v>
      </c>
      <c r="K169">
        <v>594.9</v>
      </c>
      <c r="L169">
        <v>3.9034408549999999</v>
      </c>
      <c r="M169">
        <v>14645.5</v>
      </c>
      <c r="N169">
        <v>96.096559150000004</v>
      </c>
    </row>
    <row r="170" spans="1:14" x14ac:dyDescent="0.45">
      <c r="A170" t="s">
        <v>220</v>
      </c>
      <c r="B170" t="s">
        <v>1</v>
      </c>
      <c r="C170" t="s">
        <v>8</v>
      </c>
      <c r="D170" t="s">
        <v>3</v>
      </c>
      <c r="E170" t="s">
        <v>4</v>
      </c>
      <c r="F170" t="s">
        <v>5</v>
      </c>
      <c r="G170">
        <v>2006</v>
      </c>
      <c r="H170">
        <v>15133</v>
      </c>
      <c r="I170">
        <v>11606.5</v>
      </c>
      <c r="J170">
        <v>3518.6</v>
      </c>
      <c r="K170">
        <v>1928.5</v>
      </c>
      <c r="L170">
        <v>12.74367277</v>
      </c>
      <c r="M170">
        <v>13204.5</v>
      </c>
      <c r="N170">
        <v>87.256327229999997</v>
      </c>
    </row>
    <row r="171" spans="1:14" x14ac:dyDescent="0.45">
      <c r="A171" t="s">
        <v>221</v>
      </c>
      <c r="B171" t="s">
        <v>1</v>
      </c>
      <c r="C171" t="s">
        <v>8</v>
      </c>
      <c r="D171" t="s">
        <v>3</v>
      </c>
      <c r="E171" t="s">
        <v>4</v>
      </c>
      <c r="F171" t="s">
        <v>5</v>
      </c>
      <c r="G171">
        <v>2008</v>
      </c>
      <c r="H171">
        <v>15086.8</v>
      </c>
      <c r="I171">
        <v>10607.6</v>
      </c>
      <c r="J171">
        <v>4483.8999999999996</v>
      </c>
      <c r="K171">
        <v>5835.1</v>
      </c>
      <c r="L171">
        <v>38.67685659</v>
      </c>
      <c r="M171">
        <v>9251.7000000000007</v>
      </c>
      <c r="N171">
        <v>61.32314341</v>
      </c>
    </row>
    <row r="172" spans="1:14" x14ac:dyDescent="0.45">
      <c r="A172" t="s">
        <v>222</v>
      </c>
      <c r="B172" t="s">
        <v>1</v>
      </c>
      <c r="C172" t="s">
        <v>8</v>
      </c>
      <c r="D172" t="s">
        <v>11</v>
      </c>
      <c r="E172" t="s">
        <v>12</v>
      </c>
      <c r="F172" t="s">
        <v>5</v>
      </c>
      <c r="G172">
        <v>2010</v>
      </c>
      <c r="H172">
        <v>15041.1</v>
      </c>
      <c r="I172">
        <v>4978.8999999999996</v>
      </c>
      <c r="J172">
        <v>10062.1</v>
      </c>
      <c r="K172">
        <v>2069.9</v>
      </c>
      <c r="L172">
        <v>13.76162648</v>
      </c>
      <c r="M172">
        <v>12971.2</v>
      </c>
      <c r="N172">
        <v>86.238373519999996</v>
      </c>
    </row>
    <row r="173" spans="1:14" x14ac:dyDescent="0.45">
      <c r="A173" t="s">
        <v>223</v>
      </c>
      <c r="B173" t="s">
        <v>1</v>
      </c>
      <c r="C173" t="s">
        <v>170</v>
      </c>
      <c r="D173" t="s">
        <v>3</v>
      </c>
      <c r="E173" t="s">
        <v>171</v>
      </c>
      <c r="F173" t="s">
        <v>35</v>
      </c>
      <c r="G173">
        <v>1962</v>
      </c>
      <c r="H173">
        <v>14992.7</v>
      </c>
      <c r="I173">
        <v>14837.1</v>
      </c>
      <c r="J173">
        <v>161.6</v>
      </c>
      <c r="K173">
        <v>13836</v>
      </c>
      <c r="L173">
        <v>92.284911989999998</v>
      </c>
      <c r="M173">
        <v>1156.7</v>
      </c>
      <c r="N173">
        <v>7.7150880089999996</v>
      </c>
    </row>
    <row r="174" spans="1:14" x14ac:dyDescent="0.45">
      <c r="A174" t="s">
        <v>224</v>
      </c>
      <c r="B174" t="s">
        <v>1</v>
      </c>
      <c r="C174" t="s">
        <v>32</v>
      </c>
      <c r="D174" t="s">
        <v>33</v>
      </c>
      <c r="E174" t="s">
        <v>34</v>
      </c>
      <c r="F174" t="s">
        <v>35</v>
      </c>
      <c r="G174">
        <v>2018</v>
      </c>
      <c r="H174">
        <v>14947.4</v>
      </c>
      <c r="I174">
        <v>14819</v>
      </c>
      <c r="J174">
        <v>136.5</v>
      </c>
      <c r="K174">
        <v>13482.3</v>
      </c>
      <c r="L174">
        <v>90.198295360000003</v>
      </c>
      <c r="M174">
        <v>1465.1</v>
      </c>
      <c r="N174">
        <v>9.8017046440000009</v>
      </c>
    </row>
    <row r="175" spans="1:14" x14ac:dyDescent="0.45">
      <c r="A175" t="s">
        <v>225</v>
      </c>
      <c r="B175" t="s">
        <v>1</v>
      </c>
      <c r="C175" t="s">
        <v>58</v>
      </c>
      <c r="D175" t="s">
        <v>219</v>
      </c>
      <c r="E175" t="s">
        <v>60</v>
      </c>
      <c r="F175" t="s">
        <v>5</v>
      </c>
      <c r="G175">
        <v>2012</v>
      </c>
      <c r="H175">
        <v>14897.8</v>
      </c>
      <c r="I175">
        <v>12456.5</v>
      </c>
      <c r="J175">
        <v>2450</v>
      </c>
      <c r="K175">
        <v>1543.3</v>
      </c>
      <c r="L175">
        <v>10.35924767</v>
      </c>
      <c r="M175">
        <v>13354.5</v>
      </c>
      <c r="N175">
        <v>89.640752329999998</v>
      </c>
    </row>
    <row r="176" spans="1:14" x14ac:dyDescent="0.45">
      <c r="A176" t="s">
        <v>226</v>
      </c>
      <c r="B176" t="s">
        <v>1</v>
      </c>
      <c r="C176" t="s">
        <v>8</v>
      </c>
      <c r="D176" t="s">
        <v>3</v>
      </c>
      <c r="E176" t="s">
        <v>14</v>
      </c>
      <c r="F176" t="s">
        <v>5</v>
      </c>
      <c r="G176">
        <v>2006</v>
      </c>
      <c r="H176">
        <v>14888.6</v>
      </c>
      <c r="I176">
        <v>8808.5</v>
      </c>
      <c r="J176">
        <v>6090.2</v>
      </c>
      <c r="K176">
        <v>8012</v>
      </c>
      <c r="L176">
        <v>53.81298443</v>
      </c>
      <c r="M176">
        <v>6876.6</v>
      </c>
      <c r="N176">
        <v>46.18701557</v>
      </c>
    </row>
    <row r="177" spans="1:14" x14ac:dyDescent="0.45">
      <c r="A177" t="s">
        <v>227</v>
      </c>
      <c r="B177" t="s">
        <v>1</v>
      </c>
      <c r="C177" t="s">
        <v>8</v>
      </c>
      <c r="D177" t="s">
        <v>3</v>
      </c>
      <c r="E177" t="s">
        <v>4</v>
      </c>
      <c r="F177" t="s">
        <v>5</v>
      </c>
      <c r="G177">
        <v>2005</v>
      </c>
      <c r="H177">
        <v>14880.2</v>
      </c>
      <c r="I177">
        <v>7106.1</v>
      </c>
      <c r="J177">
        <v>7779.1</v>
      </c>
      <c r="K177">
        <v>1618.8</v>
      </c>
      <c r="L177">
        <v>10.878886039999999</v>
      </c>
      <c r="M177">
        <v>13261.4</v>
      </c>
      <c r="N177">
        <v>89.121113960000002</v>
      </c>
    </row>
    <row r="178" spans="1:14" x14ac:dyDescent="0.45">
      <c r="A178" t="s">
        <v>228</v>
      </c>
      <c r="B178" t="s">
        <v>7</v>
      </c>
      <c r="C178" t="s">
        <v>229</v>
      </c>
      <c r="D178" t="s">
        <v>11</v>
      </c>
      <c r="E178" t="s">
        <v>9</v>
      </c>
      <c r="F178" t="s">
        <v>5</v>
      </c>
      <c r="G178">
        <v>2016</v>
      </c>
      <c r="H178">
        <v>14558.4</v>
      </c>
      <c r="I178">
        <v>10084</v>
      </c>
      <c r="J178">
        <v>4479.1000000000004</v>
      </c>
      <c r="K178">
        <v>5316.8</v>
      </c>
      <c r="L178">
        <v>36.52049676</v>
      </c>
      <c r="M178">
        <v>9241.6</v>
      </c>
      <c r="N178">
        <v>63.47950324</v>
      </c>
    </row>
    <row r="179" spans="1:14" x14ac:dyDescent="0.45">
      <c r="A179" t="s">
        <v>230</v>
      </c>
      <c r="B179" t="s">
        <v>7</v>
      </c>
      <c r="C179" t="s">
        <v>20</v>
      </c>
      <c r="D179" t="s">
        <v>3</v>
      </c>
      <c r="E179" t="s">
        <v>9</v>
      </c>
      <c r="F179" t="s">
        <v>5</v>
      </c>
      <c r="G179">
        <v>2008</v>
      </c>
      <c r="H179">
        <v>14544.4</v>
      </c>
      <c r="I179">
        <v>10175.299999999999</v>
      </c>
      <c r="J179">
        <v>4376</v>
      </c>
      <c r="K179">
        <v>6747.8</v>
      </c>
      <c r="L179">
        <v>46.394488600000003</v>
      </c>
      <c r="M179">
        <v>7796.6</v>
      </c>
      <c r="N179">
        <v>53.605511399999997</v>
      </c>
    </row>
    <row r="180" spans="1:14" x14ac:dyDescent="0.45">
      <c r="A180" t="s">
        <v>231</v>
      </c>
      <c r="B180" t="s">
        <v>1</v>
      </c>
      <c r="C180" t="s">
        <v>232</v>
      </c>
      <c r="D180" t="s">
        <v>3</v>
      </c>
      <c r="E180" t="s">
        <v>14</v>
      </c>
      <c r="F180" t="s">
        <v>5</v>
      </c>
      <c r="G180">
        <v>2017</v>
      </c>
      <c r="H180">
        <v>14512.1</v>
      </c>
      <c r="I180">
        <v>13579.3</v>
      </c>
      <c r="J180">
        <v>938.4</v>
      </c>
      <c r="K180">
        <v>12111.7</v>
      </c>
      <c r="L180">
        <v>83.459320149999996</v>
      </c>
      <c r="M180">
        <v>2400.4</v>
      </c>
      <c r="N180">
        <v>16.54067985</v>
      </c>
    </row>
    <row r="181" spans="1:14" x14ac:dyDescent="0.45">
      <c r="A181" t="s">
        <v>233</v>
      </c>
      <c r="B181" t="s">
        <v>1</v>
      </c>
      <c r="C181" t="s">
        <v>8</v>
      </c>
      <c r="D181" t="s">
        <v>3</v>
      </c>
      <c r="E181" t="s">
        <v>38</v>
      </c>
      <c r="F181" t="s">
        <v>35</v>
      </c>
      <c r="G181">
        <v>2003</v>
      </c>
      <c r="H181">
        <v>14507.7</v>
      </c>
      <c r="I181">
        <v>10717.2</v>
      </c>
      <c r="J181">
        <v>3796.5</v>
      </c>
      <c r="K181">
        <v>12380.2</v>
      </c>
      <c r="L181">
        <v>85.335373630000007</v>
      </c>
      <c r="M181">
        <v>2127.5</v>
      </c>
      <c r="N181">
        <v>14.664626370000001</v>
      </c>
    </row>
    <row r="182" spans="1:14" x14ac:dyDescent="0.45">
      <c r="A182" t="s">
        <v>234</v>
      </c>
      <c r="B182" t="s">
        <v>1</v>
      </c>
      <c r="C182" t="s">
        <v>2</v>
      </c>
      <c r="D182" t="s">
        <v>3</v>
      </c>
      <c r="E182" t="s">
        <v>14</v>
      </c>
      <c r="F182" t="s">
        <v>5</v>
      </c>
      <c r="G182">
        <v>2013</v>
      </c>
      <c r="H182">
        <v>14506.3</v>
      </c>
      <c r="I182">
        <v>13237.2</v>
      </c>
      <c r="J182">
        <v>1275</v>
      </c>
      <c r="K182">
        <v>7177.2</v>
      </c>
      <c r="L182">
        <v>49.476434380000001</v>
      </c>
      <c r="M182">
        <v>7329.1</v>
      </c>
      <c r="N182">
        <v>50.523565619999999</v>
      </c>
    </row>
    <row r="183" spans="1:14" x14ac:dyDescent="0.45">
      <c r="A183" t="s">
        <v>235</v>
      </c>
      <c r="B183" t="s">
        <v>1</v>
      </c>
      <c r="C183" t="s">
        <v>153</v>
      </c>
      <c r="D183" t="s">
        <v>154</v>
      </c>
      <c r="E183" t="s">
        <v>155</v>
      </c>
      <c r="F183" t="s">
        <v>35</v>
      </c>
      <c r="G183">
        <v>2007</v>
      </c>
      <c r="H183">
        <v>14404.4</v>
      </c>
      <c r="I183">
        <v>11024</v>
      </c>
      <c r="J183">
        <v>3391.4</v>
      </c>
      <c r="K183">
        <v>10484.4</v>
      </c>
      <c r="L183">
        <v>72.786093140000006</v>
      </c>
      <c r="M183">
        <v>3920</v>
      </c>
      <c r="N183">
        <v>27.213906860000002</v>
      </c>
    </row>
    <row r="184" spans="1:14" x14ac:dyDescent="0.45">
      <c r="A184" t="s">
        <v>236</v>
      </c>
      <c r="B184" t="s">
        <v>1</v>
      </c>
      <c r="C184" t="s">
        <v>8</v>
      </c>
      <c r="D184" t="s">
        <v>3</v>
      </c>
      <c r="E184" t="s">
        <v>4</v>
      </c>
      <c r="F184" t="s">
        <v>5</v>
      </c>
      <c r="G184">
        <v>2015</v>
      </c>
      <c r="H184">
        <v>14402.6</v>
      </c>
      <c r="I184">
        <v>13416.1</v>
      </c>
      <c r="J184">
        <v>990</v>
      </c>
      <c r="K184">
        <v>791.1</v>
      </c>
      <c r="L184">
        <v>5.4927582519999998</v>
      </c>
      <c r="M184">
        <v>13611.5</v>
      </c>
      <c r="N184">
        <v>94.507241750000006</v>
      </c>
    </row>
    <row r="185" spans="1:14" x14ac:dyDescent="0.45">
      <c r="A185" t="s">
        <v>237</v>
      </c>
      <c r="B185" t="s">
        <v>1</v>
      </c>
      <c r="C185" t="s">
        <v>8</v>
      </c>
      <c r="D185" t="s">
        <v>3</v>
      </c>
      <c r="E185" t="s">
        <v>38</v>
      </c>
      <c r="F185" t="s">
        <v>35</v>
      </c>
      <c r="G185">
        <v>2005</v>
      </c>
      <c r="H185">
        <v>14402.3</v>
      </c>
      <c r="I185">
        <v>4417.2</v>
      </c>
      <c r="J185">
        <v>9988.5</v>
      </c>
      <c r="K185">
        <v>13038</v>
      </c>
      <c r="L185">
        <v>90.52720746</v>
      </c>
      <c r="M185">
        <v>1364.3</v>
      </c>
      <c r="N185">
        <v>9.4727925400000004</v>
      </c>
    </row>
    <row r="186" spans="1:14" x14ac:dyDescent="0.45">
      <c r="A186" t="s">
        <v>238</v>
      </c>
      <c r="B186" t="s">
        <v>1</v>
      </c>
      <c r="C186" t="s">
        <v>81</v>
      </c>
      <c r="D186" t="s">
        <v>3</v>
      </c>
      <c r="E186" t="s">
        <v>38</v>
      </c>
      <c r="F186" t="s">
        <v>5</v>
      </c>
      <c r="G186">
        <v>2008</v>
      </c>
      <c r="H186">
        <v>14387.1</v>
      </c>
      <c r="I186">
        <v>13232.8</v>
      </c>
      <c r="J186">
        <v>1165.4000000000001</v>
      </c>
      <c r="K186">
        <v>12678.8</v>
      </c>
      <c r="L186">
        <v>88.126168579999998</v>
      </c>
      <c r="M186">
        <v>1708.3</v>
      </c>
      <c r="N186">
        <v>11.87383142</v>
      </c>
    </row>
    <row r="187" spans="1:14" x14ac:dyDescent="0.45">
      <c r="A187" t="s">
        <v>239</v>
      </c>
      <c r="B187" t="s">
        <v>1</v>
      </c>
      <c r="C187" t="s">
        <v>229</v>
      </c>
      <c r="D187" t="s">
        <v>11</v>
      </c>
      <c r="E187" t="s">
        <v>12</v>
      </c>
      <c r="F187" t="s">
        <v>5</v>
      </c>
      <c r="G187">
        <v>2020</v>
      </c>
      <c r="H187">
        <v>14345.2</v>
      </c>
      <c r="I187">
        <v>7659.9</v>
      </c>
      <c r="J187">
        <v>6698.1</v>
      </c>
      <c r="K187">
        <v>4914.8999999999996</v>
      </c>
      <c r="L187">
        <v>34.261634549999997</v>
      </c>
      <c r="M187">
        <v>9430.2999999999993</v>
      </c>
      <c r="N187">
        <v>65.738365450000003</v>
      </c>
    </row>
    <row r="188" spans="1:14" x14ac:dyDescent="0.45">
      <c r="A188" t="s">
        <v>240</v>
      </c>
      <c r="B188" t="s">
        <v>1</v>
      </c>
      <c r="C188" t="s">
        <v>29</v>
      </c>
      <c r="D188" t="s">
        <v>11</v>
      </c>
      <c r="E188" t="s">
        <v>69</v>
      </c>
      <c r="F188" t="s">
        <v>35</v>
      </c>
      <c r="G188">
        <v>2015</v>
      </c>
      <c r="H188">
        <v>14293.7</v>
      </c>
      <c r="I188">
        <v>11695.5</v>
      </c>
      <c r="J188">
        <v>2609</v>
      </c>
      <c r="K188">
        <v>8588.9</v>
      </c>
      <c r="L188">
        <v>60.088710409999997</v>
      </c>
      <c r="M188">
        <v>5704.8</v>
      </c>
      <c r="N188">
        <v>39.911289590000003</v>
      </c>
    </row>
    <row r="189" spans="1:14" x14ac:dyDescent="0.45">
      <c r="A189" t="s">
        <v>241</v>
      </c>
      <c r="B189" t="s">
        <v>7</v>
      </c>
      <c r="C189" t="s">
        <v>134</v>
      </c>
      <c r="D189" t="s">
        <v>3</v>
      </c>
      <c r="E189" t="s">
        <v>9</v>
      </c>
      <c r="F189" t="s">
        <v>5</v>
      </c>
      <c r="G189">
        <v>2008</v>
      </c>
      <c r="H189">
        <v>14221.3</v>
      </c>
      <c r="I189">
        <v>9372.1</v>
      </c>
      <c r="J189">
        <v>4858.7</v>
      </c>
      <c r="K189">
        <v>7138.3</v>
      </c>
      <c r="L189">
        <v>50.194426669999999</v>
      </c>
      <c r="M189">
        <v>7083</v>
      </c>
      <c r="N189">
        <v>49.805573330000001</v>
      </c>
    </row>
    <row r="190" spans="1:14" x14ac:dyDescent="0.45">
      <c r="A190" t="s">
        <v>242</v>
      </c>
      <c r="B190" t="s">
        <v>1</v>
      </c>
      <c r="C190" t="s">
        <v>76</v>
      </c>
      <c r="D190" t="s">
        <v>11</v>
      </c>
      <c r="E190" t="s">
        <v>77</v>
      </c>
      <c r="F190" t="s">
        <v>5</v>
      </c>
      <c r="G190">
        <v>2023</v>
      </c>
      <c r="H190">
        <v>14166.6</v>
      </c>
      <c r="I190">
        <v>7969.4</v>
      </c>
      <c r="J190">
        <v>6215.6</v>
      </c>
      <c r="K190">
        <v>3646.4</v>
      </c>
      <c r="L190">
        <v>25.73941524</v>
      </c>
      <c r="M190">
        <v>10520.2</v>
      </c>
      <c r="N190">
        <v>74.26058476</v>
      </c>
    </row>
    <row r="191" spans="1:14" x14ac:dyDescent="0.45">
      <c r="A191" t="s">
        <v>243</v>
      </c>
      <c r="B191" t="s">
        <v>1</v>
      </c>
      <c r="C191" t="s">
        <v>46</v>
      </c>
      <c r="D191" t="s">
        <v>244</v>
      </c>
      <c r="E191" t="s">
        <v>4</v>
      </c>
      <c r="F191" t="s">
        <v>5</v>
      </c>
      <c r="G191">
        <v>2013</v>
      </c>
      <c r="H191">
        <v>14127.8</v>
      </c>
      <c r="I191">
        <v>11142.3</v>
      </c>
      <c r="J191">
        <v>2993.2</v>
      </c>
      <c r="K191">
        <v>8903.2000000000007</v>
      </c>
      <c r="L191">
        <v>63.019012160000003</v>
      </c>
      <c r="M191">
        <v>5224.6000000000004</v>
      </c>
      <c r="N191">
        <v>36.980987839999997</v>
      </c>
    </row>
    <row r="192" spans="1:14" x14ac:dyDescent="0.45">
      <c r="A192" t="s">
        <v>245</v>
      </c>
      <c r="B192" t="s">
        <v>1</v>
      </c>
      <c r="C192" t="s">
        <v>8</v>
      </c>
      <c r="D192" t="s">
        <v>3</v>
      </c>
      <c r="E192" t="s">
        <v>4</v>
      </c>
      <c r="F192" t="s">
        <v>5</v>
      </c>
      <c r="G192">
        <v>1991</v>
      </c>
      <c r="H192">
        <v>14116.7</v>
      </c>
      <c r="I192">
        <v>13659.9</v>
      </c>
      <c r="J192">
        <v>462.4</v>
      </c>
      <c r="K192">
        <v>5423.2</v>
      </c>
      <c r="L192">
        <v>38.416910469999998</v>
      </c>
      <c r="M192">
        <v>8693.5</v>
      </c>
      <c r="N192">
        <v>61.583089530000002</v>
      </c>
    </row>
    <row r="193" spans="1:14" x14ac:dyDescent="0.45">
      <c r="A193" t="s">
        <v>246</v>
      </c>
      <c r="B193" t="s">
        <v>1</v>
      </c>
      <c r="C193" t="s">
        <v>20</v>
      </c>
      <c r="D193" t="s">
        <v>3</v>
      </c>
      <c r="E193" t="s">
        <v>44</v>
      </c>
      <c r="F193" t="s">
        <v>35</v>
      </c>
      <c r="G193">
        <v>2001</v>
      </c>
      <c r="H193">
        <v>14104.4</v>
      </c>
      <c r="I193">
        <v>14087.5</v>
      </c>
      <c r="J193">
        <v>23.4</v>
      </c>
      <c r="K193">
        <v>3963.9</v>
      </c>
      <c r="L193">
        <v>28.103995919999999</v>
      </c>
      <c r="M193">
        <v>10140.5</v>
      </c>
      <c r="N193">
        <v>71.896004079999997</v>
      </c>
    </row>
    <row r="194" spans="1:14" x14ac:dyDescent="0.45">
      <c r="A194" t="s">
        <v>247</v>
      </c>
      <c r="B194" t="s">
        <v>1</v>
      </c>
      <c r="C194" t="s">
        <v>72</v>
      </c>
      <c r="D194" t="s">
        <v>3</v>
      </c>
      <c r="E194" t="s">
        <v>9</v>
      </c>
      <c r="F194" t="s">
        <v>5</v>
      </c>
      <c r="G194">
        <v>2017</v>
      </c>
      <c r="H194">
        <v>14087.8</v>
      </c>
      <c r="I194">
        <v>14091.2</v>
      </c>
      <c r="J194">
        <v>0</v>
      </c>
      <c r="K194">
        <v>13608.5</v>
      </c>
      <c r="L194">
        <v>96.597765440000003</v>
      </c>
      <c r="M194">
        <v>479.3</v>
      </c>
      <c r="N194">
        <v>3.402234558</v>
      </c>
    </row>
    <row r="195" spans="1:14" x14ac:dyDescent="0.45">
      <c r="A195" t="s">
        <v>248</v>
      </c>
      <c r="B195" t="s">
        <v>1</v>
      </c>
      <c r="C195" t="s">
        <v>8</v>
      </c>
      <c r="D195" t="s">
        <v>11</v>
      </c>
      <c r="E195" t="s">
        <v>77</v>
      </c>
      <c r="F195" t="s">
        <v>35</v>
      </c>
      <c r="G195">
        <v>2022</v>
      </c>
      <c r="H195">
        <v>13999.3</v>
      </c>
      <c r="I195">
        <v>8094.6</v>
      </c>
      <c r="J195">
        <v>5914.6</v>
      </c>
      <c r="K195">
        <v>2001.5</v>
      </c>
      <c r="L195">
        <v>14.29714343</v>
      </c>
      <c r="M195">
        <v>11997.8</v>
      </c>
      <c r="N195">
        <v>85.702856569999994</v>
      </c>
    </row>
    <row r="196" spans="1:14" x14ac:dyDescent="0.45">
      <c r="A196" t="s">
        <v>249</v>
      </c>
      <c r="B196" t="s">
        <v>1</v>
      </c>
      <c r="C196" t="s">
        <v>29</v>
      </c>
      <c r="D196" t="s">
        <v>11</v>
      </c>
      <c r="E196" t="s">
        <v>9</v>
      </c>
      <c r="F196" t="s">
        <v>5</v>
      </c>
      <c r="G196">
        <v>2007</v>
      </c>
      <c r="H196">
        <v>13994.1</v>
      </c>
      <c r="I196">
        <v>8290.1</v>
      </c>
      <c r="J196">
        <v>5703.9</v>
      </c>
      <c r="K196">
        <v>3475.3</v>
      </c>
      <c r="L196">
        <v>24.834037200000001</v>
      </c>
      <c r="M196">
        <v>10518.8</v>
      </c>
      <c r="N196">
        <v>75.165962800000003</v>
      </c>
    </row>
    <row r="197" spans="1:14" x14ac:dyDescent="0.45">
      <c r="A197" t="s">
        <v>250</v>
      </c>
      <c r="B197" t="s">
        <v>1</v>
      </c>
      <c r="C197" t="s">
        <v>8</v>
      </c>
      <c r="D197" t="s">
        <v>11</v>
      </c>
      <c r="E197" t="s">
        <v>12</v>
      </c>
      <c r="F197" t="s">
        <v>5</v>
      </c>
      <c r="G197">
        <v>2009</v>
      </c>
      <c r="H197">
        <v>13994</v>
      </c>
      <c r="I197">
        <v>944.9</v>
      </c>
      <c r="J197">
        <v>13049.1</v>
      </c>
      <c r="K197">
        <v>136</v>
      </c>
      <c r="L197">
        <v>0.97184507649999996</v>
      </c>
      <c r="M197">
        <v>13858</v>
      </c>
      <c r="N197">
        <v>99.028154920000006</v>
      </c>
    </row>
    <row r="198" spans="1:14" x14ac:dyDescent="0.45">
      <c r="A198" t="s">
        <v>251</v>
      </c>
      <c r="B198" t="s">
        <v>1</v>
      </c>
      <c r="C198" t="s">
        <v>8</v>
      </c>
      <c r="D198" t="s">
        <v>3</v>
      </c>
      <c r="E198" t="s">
        <v>4</v>
      </c>
      <c r="F198" t="s">
        <v>5</v>
      </c>
      <c r="G198">
        <v>2007</v>
      </c>
      <c r="H198">
        <v>13978.6</v>
      </c>
      <c r="I198">
        <v>4090.4</v>
      </c>
      <c r="J198">
        <v>9888.1</v>
      </c>
      <c r="K198">
        <v>895.7</v>
      </c>
      <c r="L198">
        <v>6.4076516960000003</v>
      </c>
      <c r="M198">
        <v>13082.9</v>
      </c>
      <c r="N198">
        <v>93.592348299999998</v>
      </c>
    </row>
    <row r="199" spans="1:14" x14ac:dyDescent="0.45">
      <c r="A199" t="s">
        <v>252</v>
      </c>
      <c r="B199" t="s">
        <v>1</v>
      </c>
      <c r="C199" t="s">
        <v>8</v>
      </c>
      <c r="D199" t="s">
        <v>3</v>
      </c>
      <c r="E199" t="s">
        <v>4</v>
      </c>
      <c r="F199" t="s">
        <v>5</v>
      </c>
      <c r="G199">
        <v>2010</v>
      </c>
      <c r="H199">
        <v>13891.9</v>
      </c>
      <c r="I199">
        <v>9309.2000000000007</v>
      </c>
      <c r="J199">
        <v>4586.6000000000004</v>
      </c>
      <c r="K199">
        <v>12293.1</v>
      </c>
      <c r="L199">
        <v>88.491135119999996</v>
      </c>
      <c r="M199">
        <v>1598.8</v>
      </c>
      <c r="N199">
        <v>11.508864880000001</v>
      </c>
    </row>
    <row r="200" spans="1:14" x14ac:dyDescent="0.45">
      <c r="A200" t="s">
        <v>253</v>
      </c>
      <c r="B200" t="s">
        <v>1</v>
      </c>
      <c r="C200" t="s">
        <v>8</v>
      </c>
      <c r="D200" t="s">
        <v>3</v>
      </c>
      <c r="E200" t="s">
        <v>14</v>
      </c>
      <c r="F200" t="s">
        <v>5</v>
      </c>
      <c r="G200">
        <v>2011</v>
      </c>
      <c r="H200">
        <v>13890.6</v>
      </c>
      <c r="I200">
        <v>13739.5</v>
      </c>
      <c r="J200">
        <v>155.6</v>
      </c>
      <c r="K200">
        <v>8915.5</v>
      </c>
      <c r="L200">
        <v>64.183692570000005</v>
      </c>
      <c r="M200">
        <v>4975.1000000000004</v>
      </c>
      <c r="N200">
        <v>35.816307430000002</v>
      </c>
    </row>
    <row r="201" spans="1:14" x14ac:dyDescent="0.45">
      <c r="A201" t="s">
        <v>254</v>
      </c>
      <c r="B201" t="s">
        <v>1</v>
      </c>
      <c r="C201" t="s">
        <v>229</v>
      </c>
      <c r="D201" t="s">
        <v>11</v>
      </c>
      <c r="E201" t="s">
        <v>4</v>
      </c>
      <c r="F201" t="s">
        <v>5</v>
      </c>
      <c r="G201">
        <v>2014</v>
      </c>
      <c r="H201">
        <v>13734.1</v>
      </c>
      <c r="I201">
        <v>11278.9</v>
      </c>
      <c r="J201">
        <v>2462</v>
      </c>
      <c r="K201">
        <v>8953.7000000000007</v>
      </c>
      <c r="L201">
        <v>65.193205230000004</v>
      </c>
      <c r="M201">
        <v>4780.3999999999996</v>
      </c>
      <c r="N201">
        <v>34.806794770000003</v>
      </c>
    </row>
    <row r="202" spans="1:14" x14ac:dyDescent="0.45">
      <c r="A202" t="s">
        <v>255</v>
      </c>
      <c r="B202" t="s">
        <v>1</v>
      </c>
      <c r="C202" t="s">
        <v>8</v>
      </c>
      <c r="D202" t="s">
        <v>3</v>
      </c>
      <c r="E202" t="s">
        <v>4</v>
      </c>
      <c r="F202" t="s">
        <v>5</v>
      </c>
      <c r="G202">
        <v>2017</v>
      </c>
      <c r="H202">
        <v>13692</v>
      </c>
      <c r="I202">
        <v>6665</v>
      </c>
      <c r="J202">
        <v>7030</v>
      </c>
      <c r="K202">
        <v>4971.3</v>
      </c>
      <c r="L202">
        <v>36.308063099999998</v>
      </c>
      <c r="M202">
        <v>8720.7000000000007</v>
      </c>
      <c r="N202">
        <v>63.691936900000002</v>
      </c>
    </row>
    <row r="203" spans="1:14" x14ac:dyDescent="0.45">
      <c r="A203" t="s">
        <v>256</v>
      </c>
      <c r="B203" t="s">
        <v>1</v>
      </c>
      <c r="C203" t="s">
        <v>8</v>
      </c>
      <c r="D203" t="s">
        <v>3</v>
      </c>
      <c r="E203" t="s">
        <v>38</v>
      </c>
      <c r="F203" t="s">
        <v>35</v>
      </c>
      <c r="G203">
        <v>1985</v>
      </c>
      <c r="H203">
        <v>13683</v>
      </c>
      <c r="I203">
        <v>13689.3</v>
      </c>
      <c r="J203">
        <v>0</v>
      </c>
      <c r="K203">
        <v>13682.2</v>
      </c>
      <c r="L203">
        <v>99.994153330000003</v>
      </c>
      <c r="M203">
        <v>0.8</v>
      </c>
      <c r="N203">
        <v>5.8466710520000001E-3</v>
      </c>
    </row>
    <row r="204" spans="1:14" x14ac:dyDescent="0.45">
      <c r="A204" t="s">
        <v>257</v>
      </c>
      <c r="B204" t="s">
        <v>7</v>
      </c>
      <c r="C204" t="s">
        <v>8</v>
      </c>
      <c r="D204" t="s">
        <v>3</v>
      </c>
      <c r="E204" t="s">
        <v>9</v>
      </c>
      <c r="F204" t="s">
        <v>5</v>
      </c>
      <c r="G204">
        <v>1990</v>
      </c>
      <c r="H204">
        <v>13650.2</v>
      </c>
      <c r="I204">
        <v>12396.8</v>
      </c>
      <c r="J204">
        <v>1258.3</v>
      </c>
      <c r="K204">
        <v>10348.700000000001</v>
      </c>
      <c r="L204">
        <v>75.813541189999995</v>
      </c>
      <c r="M204">
        <v>3301.5</v>
      </c>
      <c r="N204">
        <v>24.186458810000001</v>
      </c>
    </row>
    <row r="205" spans="1:14" x14ac:dyDescent="0.45">
      <c r="A205" t="s">
        <v>258</v>
      </c>
      <c r="B205" t="s">
        <v>1</v>
      </c>
      <c r="C205" t="s">
        <v>8</v>
      </c>
      <c r="D205" t="s">
        <v>3</v>
      </c>
      <c r="E205" t="s">
        <v>259</v>
      </c>
      <c r="F205" t="s">
        <v>5</v>
      </c>
      <c r="G205">
        <v>2017</v>
      </c>
      <c r="H205">
        <v>13543.1</v>
      </c>
      <c r="I205">
        <v>12815.1</v>
      </c>
      <c r="J205">
        <v>728</v>
      </c>
      <c r="K205">
        <v>10726.1</v>
      </c>
      <c r="L205">
        <v>79.199740090000006</v>
      </c>
      <c r="M205">
        <v>2817</v>
      </c>
      <c r="N205">
        <v>20.800259910000001</v>
      </c>
    </row>
    <row r="206" spans="1:14" x14ac:dyDescent="0.45">
      <c r="A206" t="s">
        <v>260</v>
      </c>
      <c r="B206" t="s">
        <v>7</v>
      </c>
      <c r="C206" t="s">
        <v>8</v>
      </c>
      <c r="D206" t="s">
        <v>3</v>
      </c>
      <c r="E206" t="s">
        <v>4</v>
      </c>
      <c r="F206" t="s">
        <v>5</v>
      </c>
      <c r="G206">
        <v>2016</v>
      </c>
      <c r="H206">
        <v>13532</v>
      </c>
      <c r="I206">
        <v>7853.3</v>
      </c>
      <c r="J206">
        <v>5683.7</v>
      </c>
      <c r="K206">
        <v>4660.7</v>
      </c>
      <c r="L206">
        <v>34.442063259999998</v>
      </c>
      <c r="M206">
        <v>8871.2999999999993</v>
      </c>
      <c r="N206">
        <v>65.557936740000002</v>
      </c>
    </row>
    <row r="207" spans="1:14" x14ac:dyDescent="0.45">
      <c r="A207" t="s">
        <v>261</v>
      </c>
      <c r="B207" t="s">
        <v>1</v>
      </c>
      <c r="C207" t="s">
        <v>76</v>
      </c>
      <c r="D207" t="s">
        <v>11</v>
      </c>
      <c r="E207" t="s">
        <v>77</v>
      </c>
      <c r="F207" t="s">
        <v>5</v>
      </c>
      <c r="G207">
        <v>2016</v>
      </c>
      <c r="H207">
        <v>13503.4</v>
      </c>
      <c r="I207">
        <v>9602.2999999999993</v>
      </c>
      <c r="J207">
        <v>3932.5</v>
      </c>
      <c r="K207">
        <v>8044.7</v>
      </c>
      <c r="L207">
        <v>59.575366199999998</v>
      </c>
      <c r="M207">
        <v>5458.7</v>
      </c>
      <c r="N207">
        <v>40.424633800000002</v>
      </c>
    </row>
    <row r="208" spans="1:14" x14ac:dyDescent="0.45">
      <c r="A208" t="s">
        <v>262</v>
      </c>
      <c r="B208" t="s">
        <v>1</v>
      </c>
      <c r="C208" t="s">
        <v>8</v>
      </c>
      <c r="D208" t="s">
        <v>3</v>
      </c>
      <c r="E208" t="s">
        <v>14</v>
      </c>
      <c r="F208" t="s">
        <v>5</v>
      </c>
      <c r="G208">
        <v>2013</v>
      </c>
      <c r="H208">
        <v>13490.4</v>
      </c>
      <c r="I208">
        <v>9955.4</v>
      </c>
      <c r="J208">
        <v>3540.8</v>
      </c>
      <c r="K208">
        <v>8582.9</v>
      </c>
      <c r="L208">
        <v>63.622279550000002</v>
      </c>
      <c r="M208">
        <v>4907.5</v>
      </c>
      <c r="N208">
        <v>36.377720449999998</v>
      </c>
    </row>
    <row r="209" spans="1:14" x14ac:dyDescent="0.45">
      <c r="A209" t="s">
        <v>263</v>
      </c>
      <c r="B209" t="s">
        <v>1</v>
      </c>
      <c r="C209" t="s">
        <v>168</v>
      </c>
      <c r="D209" t="s">
        <v>3</v>
      </c>
      <c r="E209" t="s">
        <v>47</v>
      </c>
      <c r="F209" t="s">
        <v>5</v>
      </c>
      <c r="G209">
        <v>2012</v>
      </c>
      <c r="H209">
        <v>13468.7</v>
      </c>
      <c r="I209">
        <v>12222.3</v>
      </c>
      <c r="J209">
        <v>1249.7</v>
      </c>
      <c r="K209">
        <v>1202.8</v>
      </c>
      <c r="L209">
        <v>8.9303347760000005</v>
      </c>
      <c r="M209">
        <v>12265.9</v>
      </c>
      <c r="N209">
        <v>91.069665220000005</v>
      </c>
    </row>
    <row r="210" spans="1:14" x14ac:dyDescent="0.45">
      <c r="A210" t="s">
        <v>264</v>
      </c>
      <c r="B210" t="s">
        <v>1</v>
      </c>
      <c r="C210" t="s">
        <v>76</v>
      </c>
      <c r="D210" t="s">
        <v>11</v>
      </c>
      <c r="E210" t="s">
        <v>77</v>
      </c>
      <c r="F210" t="s">
        <v>35</v>
      </c>
      <c r="G210">
        <v>2003</v>
      </c>
      <c r="H210">
        <v>13433.6</v>
      </c>
      <c r="I210">
        <v>12366.7</v>
      </c>
      <c r="J210">
        <v>1072.9000000000001</v>
      </c>
      <c r="K210">
        <v>11154.7</v>
      </c>
      <c r="L210">
        <v>83.035820630000003</v>
      </c>
      <c r="M210">
        <v>2278.9</v>
      </c>
      <c r="N210">
        <v>16.96417937</v>
      </c>
    </row>
    <row r="211" spans="1:14" x14ac:dyDescent="0.45">
      <c r="A211" t="s">
        <v>265</v>
      </c>
      <c r="B211" t="s">
        <v>1</v>
      </c>
      <c r="C211" t="s">
        <v>20</v>
      </c>
      <c r="D211" t="s">
        <v>3</v>
      </c>
      <c r="E211" t="s">
        <v>38</v>
      </c>
      <c r="F211" t="s">
        <v>35</v>
      </c>
      <c r="G211">
        <v>1967</v>
      </c>
      <c r="H211">
        <v>13404.2</v>
      </c>
      <c r="I211">
        <v>11623.7</v>
      </c>
      <c r="J211">
        <v>1790.5</v>
      </c>
      <c r="K211">
        <v>13400.7</v>
      </c>
      <c r="L211">
        <v>99.973888779999996</v>
      </c>
      <c r="M211">
        <v>3.5</v>
      </c>
      <c r="N211">
        <v>2.6111218870000001E-2</v>
      </c>
    </row>
    <row r="212" spans="1:14" x14ac:dyDescent="0.45">
      <c r="A212" t="s">
        <v>266</v>
      </c>
      <c r="B212" t="s">
        <v>1</v>
      </c>
      <c r="C212" t="s">
        <v>8</v>
      </c>
      <c r="D212" t="s">
        <v>3</v>
      </c>
      <c r="E212" t="s">
        <v>4</v>
      </c>
      <c r="F212" t="s">
        <v>5</v>
      </c>
      <c r="G212">
        <v>2006</v>
      </c>
      <c r="H212">
        <v>13398.3</v>
      </c>
      <c r="I212">
        <v>13409.8</v>
      </c>
      <c r="J212">
        <v>0</v>
      </c>
      <c r="K212">
        <v>4665.5</v>
      </c>
      <c r="L212">
        <v>34.82158184</v>
      </c>
      <c r="M212">
        <v>8732.7999999999993</v>
      </c>
      <c r="N212">
        <v>65.178418160000007</v>
      </c>
    </row>
    <row r="213" spans="1:14" x14ac:dyDescent="0.45">
      <c r="A213" t="s">
        <v>267</v>
      </c>
      <c r="B213" t="s">
        <v>1</v>
      </c>
      <c r="C213" t="s">
        <v>8</v>
      </c>
      <c r="D213" t="s">
        <v>11</v>
      </c>
      <c r="E213" t="s">
        <v>12</v>
      </c>
      <c r="F213" t="s">
        <v>35</v>
      </c>
      <c r="G213">
        <v>1998</v>
      </c>
      <c r="H213">
        <v>13323.2</v>
      </c>
      <c r="I213">
        <v>8971.1</v>
      </c>
      <c r="J213">
        <v>4360.5</v>
      </c>
      <c r="K213">
        <v>5734.4</v>
      </c>
      <c r="L213">
        <v>43.040710939999997</v>
      </c>
      <c r="M213">
        <v>7588.8</v>
      </c>
      <c r="N213">
        <v>56.959289060000003</v>
      </c>
    </row>
    <row r="214" spans="1:14" x14ac:dyDescent="0.45">
      <c r="A214" t="s">
        <v>268</v>
      </c>
      <c r="B214" t="s">
        <v>1</v>
      </c>
      <c r="C214" t="s">
        <v>8</v>
      </c>
      <c r="D214" t="s">
        <v>3</v>
      </c>
      <c r="E214" t="s">
        <v>4</v>
      </c>
      <c r="F214" t="s">
        <v>5</v>
      </c>
      <c r="G214">
        <v>1984</v>
      </c>
      <c r="H214">
        <v>13320.3</v>
      </c>
      <c r="I214">
        <v>8568.7000000000007</v>
      </c>
      <c r="J214">
        <v>4756.2</v>
      </c>
      <c r="K214">
        <v>464.4</v>
      </c>
      <c r="L214">
        <v>3.4864079640000001</v>
      </c>
      <c r="M214">
        <v>12855.9</v>
      </c>
      <c r="N214">
        <v>96.513592040000006</v>
      </c>
    </row>
    <row r="215" spans="1:14" x14ac:dyDescent="0.45">
      <c r="A215" t="s">
        <v>269</v>
      </c>
      <c r="B215" t="s">
        <v>1</v>
      </c>
      <c r="C215" t="s">
        <v>8</v>
      </c>
      <c r="D215" t="s">
        <v>11</v>
      </c>
      <c r="E215" t="s">
        <v>12</v>
      </c>
      <c r="F215" t="s">
        <v>5</v>
      </c>
      <c r="G215">
        <v>2017</v>
      </c>
      <c r="H215">
        <v>13291</v>
      </c>
      <c r="I215">
        <v>10113.700000000001</v>
      </c>
      <c r="J215">
        <v>3183.3</v>
      </c>
      <c r="K215">
        <v>4068.1</v>
      </c>
      <c r="L215">
        <v>30.60793018</v>
      </c>
      <c r="M215">
        <v>9222.9</v>
      </c>
      <c r="N215">
        <v>69.392069820000003</v>
      </c>
    </row>
    <row r="216" spans="1:14" x14ac:dyDescent="0.45">
      <c r="A216" t="s">
        <v>270</v>
      </c>
      <c r="B216" t="s">
        <v>65</v>
      </c>
      <c r="C216" t="s">
        <v>8</v>
      </c>
      <c r="D216" t="s">
        <v>3</v>
      </c>
      <c r="E216" t="s">
        <v>44</v>
      </c>
      <c r="F216" t="s">
        <v>35</v>
      </c>
      <c r="G216">
        <v>2008</v>
      </c>
      <c r="H216">
        <v>13287</v>
      </c>
      <c r="I216">
        <v>13294.9</v>
      </c>
      <c r="J216">
        <v>0</v>
      </c>
      <c r="K216">
        <v>13287</v>
      </c>
      <c r="L216">
        <v>100</v>
      </c>
      <c r="M216">
        <v>0</v>
      </c>
      <c r="N216">
        <v>0</v>
      </c>
    </row>
    <row r="217" spans="1:14" x14ac:dyDescent="0.45">
      <c r="A217" t="s">
        <v>271</v>
      </c>
      <c r="B217" t="s">
        <v>1</v>
      </c>
      <c r="C217" t="s">
        <v>8</v>
      </c>
      <c r="D217" t="s">
        <v>3</v>
      </c>
      <c r="E217" t="s">
        <v>4</v>
      </c>
      <c r="F217" t="s">
        <v>5</v>
      </c>
      <c r="G217">
        <v>2008</v>
      </c>
      <c r="H217">
        <v>13281.8</v>
      </c>
      <c r="I217">
        <v>12309.2</v>
      </c>
      <c r="J217">
        <v>978.1</v>
      </c>
      <c r="K217">
        <v>11171.3</v>
      </c>
      <c r="L217">
        <v>84.109834509999999</v>
      </c>
      <c r="M217">
        <v>2110.5</v>
      </c>
      <c r="N217">
        <v>15.890165489999999</v>
      </c>
    </row>
    <row r="218" spans="1:14" x14ac:dyDescent="0.45">
      <c r="A218" t="s">
        <v>272</v>
      </c>
      <c r="B218" t="s">
        <v>1</v>
      </c>
      <c r="C218" t="s">
        <v>8</v>
      </c>
      <c r="D218" t="s">
        <v>11</v>
      </c>
      <c r="E218" t="s">
        <v>12</v>
      </c>
      <c r="F218" t="s">
        <v>5</v>
      </c>
      <c r="G218">
        <v>2000</v>
      </c>
      <c r="H218">
        <v>13273.4</v>
      </c>
      <c r="I218">
        <v>4702.2</v>
      </c>
      <c r="J218">
        <v>8580.5</v>
      </c>
      <c r="K218">
        <v>575.4</v>
      </c>
      <c r="L218">
        <v>4.3349857610000004</v>
      </c>
      <c r="M218">
        <v>12698</v>
      </c>
      <c r="N218">
        <v>95.665014240000005</v>
      </c>
    </row>
    <row r="219" spans="1:14" x14ac:dyDescent="0.45">
      <c r="A219" t="s">
        <v>273</v>
      </c>
      <c r="B219" t="s">
        <v>65</v>
      </c>
      <c r="C219" t="s">
        <v>8</v>
      </c>
      <c r="D219" t="s">
        <v>3</v>
      </c>
      <c r="E219" t="s">
        <v>47</v>
      </c>
      <c r="F219" t="s">
        <v>35</v>
      </c>
      <c r="G219">
        <v>2009</v>
      </c>
      <c r="H219">
        <v>13220.4</v>
      </c>
      <c r="I219">
        <v>11619.7</v>
      </c>
      <c r="J219">
        <v>1604</v>
      </c>
      <c r="K219">
        <v>45.4</v>
      </c>
      <c r="L219">
        <v>0.34340867139999998</v>
      </c>
      <c r="M219">
        <v>13175</v>
      </c>
      <c r="N219">
        <v>99.656591329999998</v>
      </c>
    </row>
    <row r="220" spans="1:14" x14ac:dyDescent="0.45">
      <c r="A220" t="s">
        <v>274</v>
      </c>
      <c r="B220" t="s">
        <v>1</v>
      </c>
      <c r="C220" t="s">
        <v>8</v>
      </c>
      <c r="D220" t="s">
        <v>3</v>
      </c>
      <c r="E220" t="s">
        <v>9</v>
      </c>
      <c r="F220" t="s">
        <v>5</v>
      </c>
      <c r="G220">
        <v>1999</v>
      </c>
      <c r="H220">
        <v>13208.3</v>
      </c>
      <c r="I220">
        <v>12134.4</v>
      </c>
      <c r="J220">
        <v>1076.8</v>
      </c>
      <c r="K220">
        <v>11821.4</v>
      </c>
      <c r="L220">
        <v>89.499784230000003</v>
      </c>
      <c r="M220">
        <v>1386.9</v>
      </c>
      <c r="N220">
        <v>10.500215770000001</v>
      </c>
    </row>
    <row r="221" spans="1:14" x14ac:dyDescent="0.45">
      <c r="A221" t="s">
        <v>275</v>
      </c>
      <c r="B221" t="s">
        <v>1</v>
      </c>
      <c r="C221" t="s">
        <v>8</v>
      </c>
      <c r="D221" t="s">
        <v>3</v>
      </c>
      <c r="E221" t="s">
        <v>14</v>
      </c>
      <c r="F221" t="s">
        <v>5</v>
      </c>
      <c r="G221">
        <v>2010</v>
      </c>
      <c r="H221">
        <v>13065.7</v>
      </c>
      <c r="I221">
        <v>7612.4</v>
      </c>
      <c r="J221">
        <v>5460.1</v>
      </c>
      <c r="K221">
        <v>5541.7</v>
      </c>
      <c r="L221">
        <v>42.414107170000001</v>
      </c>
      <c r="M221">
        <v>7524</v>
      </c>
      <c r="N221">
        <v>57.585892829999999</v>
      </c>
    </row>
    <row r="222" spans="1:14" x14ac:dyDescent="0.45">
      <c r="A222" t="s">
        <v>276</v>
      </c>
      <c r="B222" t="s">
        <v>1</v>
      </c>
      <c r="C222" t="s">
        <v>8</v>
      </c>
      <c r="D222" t="s">
        <v>3</v>
      </c>
      <c r="E222" t="s">
        <v>4</v>
      </c>
      <c r="F222" t="s">
        <v>5</v>
      </c>
      <c r="G222">
        <v>2018</v>
      </c>
      <c r="H222">
        <v>13039.8</v>
      </c>
      <c r="I222">
        <v>12982.3</v>
      </c>
      <c r="J222">
        <v>59.7</v>
      </c>
      <c r="K222">
        <v>7413.1</v>
      </c>
      <c r="L222">
        <v>56.849798309999997</v>
      </c>
      <c r="M222">
        <v>5626.7</v>
      </c>
      <c r="N222">
        <v>43.150201690000003</v>
      </c>
    </row>
    <row r="223" spans="1:14" x14ac:dyDescent="0.45">
      <c r="A223" t="s">
        <v>277</v>
      </c>
      <c r="B223" t="s">
        <v>1</v>
      </c>
      <c r="C223" t="s">
        <v>8</v>
      </c>
      <c r="D223" t="s">
        <v>3</v>
      </c>
      <c r="E223" t="s">
        <v>278</v>
      </c>
      <c r="F223" t="s">
        <v>35</v>
      </c>
      <c r="G223">
        <v>1998</v>
      </c>
      <c r="H223">
        <v>13009.4</v>
      </c>
      <c r="I223">
        <v>13017.1</v>
      </c>
      <c r="J223">
        <v>0</v>
      </c>
      <c r="K223">
        <v>12963.5</v>
      </c>
      <c r="L223">
        <v>99.647178190000005</v>
      </c>
      <c r="M223">
        <v>45.9</v>
      </c>
      <c r="N223">
        <v>0.3528218058</v>
      </c>
    </row>
    <row r="224" spans="1:14" x14ac:dyDescent="0.45">
      <c r="A224" t="s">
        <v>279</v>
      </c>
      <c r="B224" t="s">
        <v>1</v>
      </c>
      <c r="C224" t="s">
        <v>8</v>
      </c>
      <c r="D224" t="s">
        <v>3</v>
      </c>
      <c r="E224" t="s">
        <v>4</v>
      </c>
      <c r="F224" t="s">
        <v>5</v>
      </c>
      <c r="G224">
        <v>2009</v>
      </c>
      <c r="H224">
        <v>12994.4</v>
      </c>
      <c r="I224">
        <v>12999.7</v>
      </c>
      <c r="J224">
        <v>0</v>
      </c>
      <c r="K224">
        <v>5593.4</v>
      </c>
      <c r="L224">
        <v>43.044696180000003</v>
      </c>
      <c r="M224">
        <v>7401</v>
      </c>
      <c r="N224">
        <v>56.955303819999997</v>
      </c>
    </row>
    <row r="225" spans="1:14" x14ac:dyDescent="0.45">
      <c r="A225" t="s">
        <v>280</v>
      </c>
      <c r="B225" t="s">
        <v>65</v>
      </c>
      <c r="C225" t="s">
        <v>134</v>
      </c>
      <c r="D225" t="s">
        <v>3</v>
      </c>
      <c r="E225" t="s">
        <v>9</v>
      </c>
      <c r="F225" t="s">
        <v>35</v>
      </c>
      <c r="G225">
        <v>1972</v>
      </c>
      <c r="H225">
        <v>12992.2</v>
      </c>
      <c r="I225">
        <v>10479.5</v>
      </c>
      <c r="J225">
        <v>2516.3000000000002</v>
      </c>
      <c r="K225">
        <v>12992.2</v>
      </c>
      <c r="L225">
        <v>100</v>
      </c>
      <c r="M225">
        <v>0</v>
      </c>
      <c r="N225">
        <v>0</v>
      </c>
    </row>
    <row r="226" spans="1:14" x14ac:dyDescent="0.45">
      <c r="A226" t="s">
        <v>281</v>
      </c>
      <c r="B226" t="s">
        <v>7</v>
      </c>
      <c r="C226" t="s">
        <v>8</v>
      </c>
      <c r="D226" t="s">
        <v>11</v>
      </c>
      <c r="E226" t="s">
        <v>69</v>
      </c>
      <c r="F226" t="s">
        <v>5</v>
      </c>
      <c r="G226">
        <v>2013</v>
      </c>
      <c r="H226">
        <v>12985.2</v>
      </c>
      <c r="I226">
        <v>8772.2000000000007</v>
      </c>
      <c r="J226">
        <v>4216.8</v>
      </c>
      <c r="K226">
        <v>2160.8000000000002</v>
      </c>
      <c r="L226">
        <v>16.640483010000001</v>
      </c>
      <c r="M226">
        <v>10824.4</v>
      </c>
      <c r="N226">
        <v>83.359516990000003</v>
      </c>
    </row>
    <row r="227" spans="1:14" x14ac:dyDescent="0.45">
      <c r="A227" t="s">
        <v>282</v>
      </c>
      <c r="B227" t="s">
        <v>1</v>
      </c>
      <c r="C227" t="s">
        <v>8</v>
      </c>
      <c r="D227" t="s">
        <v>11</v>
      </c>
      <c r="E227" t="s">
        <v>12</v>
      </c>
      <c r="F227" t="s">
        <v>5</v>
      </c>
      <c r="G227">
        <v>2003</v>
      </c>
      <c r="H227">
        <v>12929.7</v>
      </c>
      <c r="I227">
        <v>5938.5</v>
      </c>
      <c r="J227">
        <v>6997.8</v>
      </c>
      <c r="K227">
        <v>1490.1</v>
      </c>
      <c r="L227">
        <v>11.524629340000001</v>
      </c>
      <c r="M227">
        <v>11439.6</v>
      </c>
      <c r="N227">
        <v>88.475370659999996</v>
      </c>
    </row>
    <row r="228" spans="1:14" x14ac:dyDescent="0.45">
      <c r="A228" t="s">
        <v>283</v>
      </c>
      <c r="B228" t="s">
        <v>1</v>
      </c>
      <c r="C228" t="s">
        <v>229</v>
      </c>
      <c r="D228" t="s">
        <v>11</v>
      </c>
      <c r="E228" t="s">
        <v>69</v>
      </c>
      <c r="F228" t="s">
        <v>5</v>
      </c>
      <c r="G228">
        <v>1995</v>
      </c>
      <c r="H228">
        <v>12857.9</v>
      </c>
      <c r="I228">
        <v>11010.3</v>
      </c>
      <c r="J228">
        <v>1853</v>
      </c>
      <c r="K228">
        <v>3301</v>
      </c>
      <c r="L228">
        <v>25.672932589999998</v>
      </c>
      <c r="M228">
        <v>9556.9</v>
      </c>
      <c r="N228">
        <v>74.327067409999998</v>
      </c>
    </row>
    <row r="229" spans="1:14" x14ac:dyDescent="0.45">
      <c r="A229" t="s">
        <v>284</v>
      </c>
      <c r="B229" t="s">
        <v>1</v>
      </c>
      <c r="C229" t="s">
        <v>8</v>
      </c>
      <c r="D229" t="s">
        <v>3</v>
      </c>
      <c r="E229" t="s">
        <v>4</v>
      </c>
      <c r="F229" t="s">
        <v>5</v>
      </c>
      <c r="G229">
        <v>2015</v>
      </c>
      <c r="H229">
        <v>12823.8</v>
      </c>
      <c r="I229">
        <v>5535</v>
      </c>
      <c r="J229">
        <v>7288.8</v>
      </c>
      <c r="K229">
        <v>2109.1999999999998</v>
      </c>
      <c r="L229">
        <v>16.447542850000001</v>
      </c>
      <c r="M229">
        <v>10714.6</v>
      </c>
      <c r="N229">
        <v>83.552457149999995</v>
      </c>
    </row>
    <row r="230" spans="1:14" x14ac:dyDescent="0.45">
      <c r="A230" t="s">
        <v>285</v>
      </c>
      <c r="B230" t="s">
        <v>1</v>
      </c>
      <c r="C230" t="s">
        <v>76</v>
      </c>
      <c r="D230" t="s">
        <v>11</v>
      </c>
      <c r="E230" t="s">
        <v>77</v>
      </c>
      <c r="F230" t="s">
        <v>5</v>
      </c>
      <c r="G230">
        <v>2018</v>
      </c>
      <c r="H230">
        <v>12810.9</v>
      </c>
      <c r="I230">
        <v>6582.9</v>
      </c>
      <c r="J230">
        <v>6236.2</v>
      </c>
      <c r="K230">
        <v>1707.5</v>
      </c>
      <c r="L230">
        <v>13.328493699999999</v>
      </c>
      <c r="M230">
        <v>11103.4</v>
      </c>
      <c r="N230">
        <v>86.671506300000004</v>
      </c>
    </row>
    <row r="231" spans="1:14" x14ac:dyDescent="0.45">
      <c r="A231" t="s">
        <v>286</v>
      </c>
      <c r="B231" t="s">
        <v>1</v>
      </c>
      <c r="C231" t="s">
        <v>8</v>
      </c>
      <c r="D231" t="s">
        <v>11</v>
      </c>
      <c r="E231" t="s">
        <v>12</v>
      </c>
      <c r="F231" t="s">
        <v>35</v>
      </c>
      <c r="G231">
        <v>2000</v>
      </c>
      <c r="H231">
        <v>12799.8</v>
      </c>
      <c r="I231">
        <v>5018.3999999999996</v>
      </c>
      <c r="J231">
        <v>7786.4</v>
      </c>
      <c r="K231">
        <v>1713.9</v>
      </c>
      <c r="L231">
        <v>13.390052969999999</v>
      </c>
      <c r="M231">
        <v>11085.9</v>
      </c>
      <c r="N231">
        <v>86.609947030000001</v>
      </c>
    </row>
    <row r="232" spans="1:14" x14ac:dyDescent="0.45">
      <c r="A232" t="s">
        <v>287</v>
      </c>
      <c r="B232" t="s">
        <v>1</v>
      </c>
      <c r="C232" t="s">
        <v>81</v>
      </c>
      <c r="D232" t="s">
        <v>3</v>
      </c>
      <c r="E232" t="s">
        <v>38</v>
      </c>
      <c r="F232" t="s">
        <v>35</v>
      </c>
      <c r="G232">
        <v>2011</v>
      </c>
      <c r="H232">
        <v>12788.3</v>
      </c>
      <c r="I232">
        <v>12025.6</v>
      </c>
      <c r="J232">
        <v>766.3</v>
      </c>
      <c r="K232">
        <v>11526.4</v>
      </c>
      <c r="L232">
        <v>90.132386629999999</v>
      </c>
      <c r="M232">
        <v>1261.9000000000001</v>
      </c>
      <c r="N232">
        <v>9.8676133650000004</v>
      </c>
    </row>
    <row r="233" spans="1:14" x14ac:dyDescent="0.45">
      <c r="A233" t="s">
        <v>288</v>
      </c>
      <c r="B233" t="s">
        <v>1</v>
      </c>
      <c r="C233" t="s">
        <v>8</v>
      </c>
      <c r="D233" t="s">
        <v>3</v>
      </c>
      <c r="E233" t="s">
        <v>4</v>
      </c>
      <c r="F233" t="s">
        <v>5</v>
      </c>
      <c r="G233">
        <v>2015</v>
      </c>
      <c r="H233">
        <v>12751</v>
      </c>
      <c r="I233">
        <v>8481.6</v>
      </c>
      <c r="J233">
        <v>4272.5</v>
      </c>
      <c r="K233">
        <v>5659.8</v>
      </c>
      <c r="L233">
        <v>44.387106889999998</v>
      </c>
      <c r="M233">
        <v>7091.2</v>
      </c>
      <c r="N233">
        <v>55.612893110000002</v>
      </c>
    </row>
    <row r="234" spans="1:14" x14ac:dyDescent="0.45">
      <c r="A234" t="s">
        <v>289</v>
      </c>
      <c r="B234" t="s">
        <v>7</v>
      </c>
      <c r="C234" t="s">
        <v>32</v>
      </c>
      <c r="D234" t="s">
        <v>33</v>
      </c>
      <c r="E234" t="s">
        <v>34</v>
      </c>
      <c r="F234" t="s">
        <v>35</v>
      </c>
      <c r="G234">
        <v>2015</v>
      </c>
      <c r="H234">
        <v>12716.2</v>
      </c>
      <c r="I234">
        <v>2648.7</v>
      </c>
      <c r="J234">
        <v>10073.4</v>
      </c>
      <c r="K234">
        <v>12242.6</v>
      </c>
      <c r="L234">
        <v>96.275616929999998</v>
      </c>
      <c r="M234">
        <v>473.6</v>
      </c>
      <c r="N234">
        <v>3.72438307</v>
      </c>
    </row>
    <row r="235" spans="1:14" x14ac:dyDescent="0.45">
      <c r="A235" t="s">
        <v>290</v>
      </c>
      <c r="B235" t="s">
        <v>1</v>
      </c>
      <c r="C235" t="s">
        <v>8</v>
      </c>
      <c r="D235" t="s">
        <v>11</v>
      </c>
      <c r="E235" t="s">
        <v>12</v>
      </c>
      <c r="F235" t="s">
        <v>5</v>
      </c>
      <c r="G235">
        <v>2004</v>
      </c>
      <c r="H235">
        <v>12713.2</v>
      </c>
      <c r="I235">
        <v>12596.1</v>
      </c>
      <c r="J235">
        <v>124.8</v>
      </c>
      <c r="K235">
        <v>1284.7</v>
      </c>
      <c r="L235">
        <v>10.10524494</v>
      </c>
      <c r="M235">
        <v>11428.5</v>
      </c>
      <c r="N235">
        <v>89.894755059999994</v>
      </c>
    </row>
    <row r="236" spans="1:14" x14ac:dyDescent="0.45">
      <c r="A236" t="s">
        <v>291</v>
      </c>
      <c r="B236" t="s">
        <v>7</v>
      </c>
      <c r="C236" t="s">
        <v>8</v>
      </c>
      <c r="D236" t="s">
        <v>3</v>
      </c>
      <c r="E236" t="s">
        <v>9</v>
      </c>
      <c r="F236" t="s">
        <v>5</v>
      </c>
      <c r="G236">
        <v>2008</v>
      </c>
      <c r="H236">
        <v>12700.7</v>
      </c>
      <c r="I236">
        <v>8281.2000000000007</v>
      </c>
      <c r="J236">
        <v>4423.1000000000004</v>
      </c>
      <c r="K236">
        <v>7763.9</v>
      </c>
      <c r="L236">
        <v>61.129701509999997</v>
      </c>
      <c r="M236">
        <v>4936.8</v>
      </c>
      <c r="N236">
        <v>38.870298490000003</v>
      </c>
    </row>
    <row r="237" spans="1:14" x14ac:dyDescent="0.45">
      <c r="A237" t="s">
        <v>292</v>
      </c>
      <c r="B237" t="s">
        <v>1</v>
      </c>
      <c r="C237" t="s">
        <v>20</v>
      </c>
      <c r="D237" t="s">
        <v>3</v>
      </c>
      <c r="E237" t="s">
        <v>9</v>
      </c>
      <c r="F237" t="s">
        <v>5</v>
      </c>
      <c r="G237">
        <v>2010</v>
      </c>
      <c r="H237">
        <v>12650.8</v>
      </c>
      <c r="I237">
        <v>11398.2</v>
      </c>
      <c r="J237">
        <v>1255.5</v>
      </c>
      <c r="K237">
        <v>5777.3</v>
      </c>
      <c r="L237">
        <v>45.667467670000001</v>
      </c>
      <c r="M237">
        <v>6873.5</v>
      </c>
      <c r="N237">
        <v>54.332532329999999</v>
      </c>
    </row>
    <row r="238" spans="1:14" x14ac:dyDescent="0.45">
      <c r="A238" t="s">
        <v>293</v>
      </c>
      <c r="B238" t="s">
        <v>1</v>
      </c>
      <c r="C238" t="s">
        <v>2</v>
      </c>
      <c r="D238" t="s">
        <v>3</v>
      </c>
      <c r="E238" t="s">
        <v>9</v>
      </c>
      <c r="F238" t="s">
        <v>5</v>
      </c>
      <c r="G238">
        <v>2001</v>
      </c>
      <c r="H238">
        <v>12647.5</v>
      </c>
      <c r="I238">
        <v>11934</v>
      </c>
      <c r="J238">
        <v>715.4</v>
      </c>
      <c r="K238">
        <v>10362.700000000001</v>
      </c>
      <c r="L238">
        <v>81.934769720000006</v>
      </c>
      <c r="M238">
        <v>2284.8000000000002</v>
      </c>
      <c r="N238">
        <v>18.065230280000002</v>
      </c>
    </row>
    <row r="239" spans="1:14" x14ac:dyDescent="0.45">
      <c r="A239" t="s">
        <v>294</v>
      </c>
      <c r="B239" t="s">
        <v>1</v>
      </c>
      <c r="C239" t="s">
        <v>8</v>
      </c>
      <c r="D239" t="s">
        <v>3</v>
      </c>
      <c r="E239" t="s">
        <v>4</v>
      </c>
      <c r="F239" t="s">
        <v>5</v>
      </c>
      <c r="G239">
        <v>2000</v>
      </c>
      <c r="H239">
        <v>12593.2</v>
      </c>
      <c r="I239">
        <v>6266</v>
      </c>
      <c r="J239">
        <v>6330.7</v>
      </c>
      <c r="K239">
        <v>351.5</v>
      </c>
      <c r="L239">
        <v>2.791188896</v>
      </c>
      <c r="M239">
        <v>12241.7</v>
      </c>
      <c r="N239">
        <v>97.208811100000005</v>
      </c>
    </row>
    <row r="240" spans="1:14" x14ac:dyDescent="0.45">
      <c r="A240" t="s">
        <v>295</v>
      </c>
      <c r="B240" t="s">
        <v>7</v>
      </c>
      <c r="C240" t="s">
        <v>20</v>
      </c>
      <c r="D240" t="s">
        <v>3</v>
      </c>
      <c r="E240" t="s">
        <v>9</v>
      </c>
      <c r="F240" t="s">
        <v>5</v>
      </c>
      <c r="G240">
        <v>2013</v>
      </c>
      <c r="H240">
        <v>12593</v>
      </c>
      <c r="I240">
        <v>12542.7</v>
      </c>
      <c r="J240">
        <v>29.5</v>
      </c>
      <c r="K240">
        <v>3706.6</v>
      </c>
      <c r="L240">
        <v>29.433812440000001</v>
      </c>
      <c r="M240">
        <v>8886.4</v>
      </c>
      <c r="N240">
        <v>70.566187560000003</v>
      </c>
    </row>
    <row r="241" spans="1:14" x14ac:dyDescent="0.45">
      <c r="A241" t="s">
        <v>296</v>
      </c>
      <c r="B241" t="s">
        <v>1</v>
      </c>
      <c r="C241" t="s">
        <v>20</v>
      </c>
      <c r="D241" t="s">
        <v>3</v>
      </c>
      <c r="E241" t="s">
        <v>38</v>
      </c>
      <c r="F241" t="s">
        <v>35</v>
      </c>
      <c r="G241">
        <v>1964</v>
      </c>
      <c r="H241">
        <v>12566.2</v>
      </c>
      <c r="I241">
        <v>4905.7</v>
      </c>
      <c r="J241">
        <v>7658.9</v>
      </c>
      <c r="K241">
        <v>12335.7</v>
      </c>
      <c r="L241">
        <v>98.165714379999997</v>
      </c>
      <c r="M241">
        <v>230.5</v>
      </c>
      <c r="N241">
        <v>1.834285623</v>
      </c>
    </row>
    <row r="242" spans="1:14" x14ac:dyDescent="0.45">
      <c r="A242" t="s">
        <v>297</v>
      </c>
      <c r="B242" t="s">
        <v>1</v>
      </c>
      <c r="C242" t="s">
        <v>8</v>
      </c>
      <c r="D242" t="s">
        <v>3</v>
      </c>
      <c r="E242" t="s">
        <v>9</v>
      </c>
      <c r="F242" t="s">
        <v>5</v>
      </c>
      <c r="G242">
        <v>1939</v>
      </c>
      <c r="H242">
        <v>12421.7</v>
      </c>
      <c r="I242">
        <v>11999.7</v>
      </c>
      <c r="J242">
        <v>421.9</v>
      </c>
      <c r="K242">
        <v>9162.6</v>
      </c>
      <c r="L242">
        <v>73.762850499999999</v>
      </c>
      <c r="M242">
        <v>3259.1</v>
      </c>
      <c r="N242">
        <v>26.237149500000001</v>
      </c>
    </row>
    <row r="243" spans="1:14" x14ac:dyDescent="0.45">
      <c r="A243" t="s">
        <v>298</v>
      </c>
      <c r="B243" t="s">
        <v>1</v>
      </c>
      <c r="C243" t="s">
        <v>115</v>
      </c>
      <c r="D243" t="s">
        <v>116</v>
      </c>
      <c r="E243" t="s">
        <v>47</v>
      </c>
      <c r="F243" t="s">
        <v>5</v>
      </c>
      <c r="G243">
        <v>2014</v>
      </c>
      <c r="H243">
        <v>12403.3</v>
      </c>
      <c r="I243">
        <v>7261.2</v>
      </c>
      <c r="J243">
        <v>5145.8</v>
      </c>
      <c r="K243">
        <v>376.4</v>
      </c>
      <c r="L243">
        <v>3.034676256</v>
      </c>
      <c r="M243">
        <v>12026.9</v>
      </c>
      <c r="N243">
        <v>96.965323740000002</v>
      </c>
    </row>
    <row r="244" spans="1:14" x14ac:dyDescent="0.45">
      <c r="A244" t="s">
        <v>299</v>
      </c>
      <c r="B244" t="s">
        <v>1</v>
      </c>
      <c r="C244" t="s">
        <v>8</v>
      </c>
      <c r="D244" t="s">
        <v>11</v>
      </c>
      <c r="E244" t="s">
        <v>12</v>
      </c>
      <c r="F244" t="s">
        <v>5</v>
      </c>
      <c r="G244">
        <v>2015</v>
      </c>
      <c r="H244">
        <v>12394.6</v>
      </c>
      <c r="I244">
        <v>4419.3999999999996</v>
      </c>
      <c r="J244">
        <v>7981.5</v>
      </c>
      <c r="K244">
        <v>1528.1</v>
      </c>
      <c r="L244">
        <v>12.328756070000001</v>
      </c>
      <c r="M244">
        <v>10866.5</v>
      </c>
      <c r="N244">
        <v>87.671243930000003</v>
      </c>
    </row>
    <row r="245" spans="1:14" x14ac:dyDescent="0.45">
      <c r="A245" t="s">
        <v>300</v>
      </c>
      <c r="B245" t="s">
        <v>1</v>
      </c>
      <c r="C245" t="s">
        <v>153</v>
      </c>
      <c r="D245" t="s">
        <v>154</v>
      </c>
      <c r="E245" t="s">
        <v>155</v>
      </c>
      <c r="F245" t="s">
        <v>5</v>
      </c>
      <c r="G245">
        <v>2009</v>
      </c>
      <c r="H245">
        <v>12324.9</v>
      </c>
      <c r="I245">
        <v>10393.6</v>
      </c>
      <c r="J245">
        <v>1924.7</v>
      </c>
      <c r="K245">
        <v>8841.9</v>
      </c>
      <c r="L245">
        <v>71.740135820000006</v>
      </c>
      <c r="M245">
        <v>3483</v>
      </c>
      <c r="N245">
        <v>28.259864180000001</v>
      </c>
    </row>
    <row r="246" spans="1:14" x14ac:dyDescent="0.45">
      <c r="A246" t="s">
        <v>301</v>
      </c>
      <c r="B246" t="s">
        <v>1</v>
      </c>
      <c r="C246" t="s">
        <v>8</v>
      </c>
      <c r="D246" t="s">
        <v>11</v>
      </c>
      <c r="E246" t="s">
        <v>4</v>
      </c>
      <c r="F246" t="s">
        <v>5</v>
      </c>
      <c r="G246">
        <v>2017</v>
      </c>
      <c r="H246">
        <v>12209.5</v>
      </c>
      <c r="I246">
        <v>8937.9</v>
      </c>
      <c r="J246">
        <v>3281.7</v>
      </c>
      <c r="K246">
        <v>3226.5</v>
      </c>
      <c r="L246">
        <v>26.426143580000002</v>
      </c>
      <c r="M246">
        <v>8983</v>
      </c>
      <c r="N246">
        <v>73.573856419999998</v>
      </c>
    </row>
    <row r="247" spans="1:14" x14ac:dyDescent="0.45">
      <c r="A247" t="s">
        <v>302</v>
      </c>
      <c r="B247" t="s">
        <v>1</v>
      </c>
      <c r="C247" t="s">
        <v>76</v>
      </c>
      <c r="D247" t="s">
        <v>11</v>
      </c>
      <c r="E247" t="s">
        <v>77</v>
      </c>
      <c r="F247" t="s">
        <v>35</v>
      </c>
      <c r="G247">
        <v>2014</v>
      </c>
      <c r="H247">
        <v>12151.3</v>
      </c>
      <c r="I247">
        <v>8589.7999999999993</v>
      </c>
      <c r="J247">
        <v>3569.6</v>
      </c>
      <c r="K247">
        <v>2705.2</v>
      </c>
      <c r="L247">
        <v>22.26263857</v>
      </c>
      <c r="M247">
        <v>9446.1</v>
      </c>
      <c r="N247">
        <v>77.737361430000007</v>
      </c>
    </row>
    <row r="248" spans="1:14" x14ac:dyDescent="0.45">
      <c r="A248" t="s">
        <v>303</v>
      </c>
      <c r="B248" t="s">
        <v>1</v>
      </c>
      <c r="C248" t="s">
        <v>58</v>
      </c>
      <c r="D248" t="s">
        <v>59</v>
      </c>
      <c r="E248" t="s">
        <v>60</v>
      </c>
      <c r="F248" t="s">
        <v>5</v>
      </c>
      <c r="G248">
        <v>2008</v>
      </c>
      <c r="H248">
        <v>12136.7</v>
      </c>
      <c r="I248">
        <v>8.4</v>
      </c>
      <c r="J248">
        <v>12135.9</v>
      </c>
      <c r="K248">
        <v>0</v>
      </c>
      <c r="L248">
        <v>0</v>
      </c>
      <c r="M248">
        <v>12136.7</v>
      </c>
      <c r="N248">
        <v>100</v>
      </c>
    </row>
    <row r="249" spans="1:14" x14ac:dyDescent="0.45">
      <c r="A249" t="s">
        <v>304</v>
      </c>
      <c r="B249" t="s">
        <v>7</v>
      </c>
      <c r="C249" t="s">
        <v>8</v>
      </c>
      <c r="D249" t="s">
        <v>3</v>
      </c>
      <c r="E249" t="s">
        <v>14</v>
      </c>
      <c r="F249" t="s">
        <v>5</v>
      </c>
      <c r="G249">
        <v>2001</v>
      </c>
      <c r="H249">
        <v>12099.6</v>
      </c>
      <c r="I249">
        <v>8350.5</v>
      </c>
      <c r="J249">
        <v>3754.7</v>
      </c>
      <c r="K249">
        <v>7341.3</v>
      </c>
      <c r="L249">
        <v>60.673906580000001</v>
      </c>
      <c r="M249">
        <v>4758.3</v>
      </c>
      <c r="N249">
        <v>39.326093419999999</v>
      </c>
    </row>
    <row r="250" spans="1:14" x14ac:dyDescent="0.45">
      <c r="A250" t="s">
        <v>305</v>
      </c>
      <c r="B250" t="s">
        <v>7</v>
      </c>
      <c r="C250" t="s">
        <v>8</v>
      </c>
      <c r="D250" t="s">
        <v>3</v>
      </c>
      <c r="E250" t="s">
        <v>9</v>
      </c>
      <c r="F250" t="s">
        <v>5</v>
      </c>
      <c r="G250">
        <v>2009</v>
      </c>
      <c r="H250">
        <v>12094.7</v>
      </c>
      <c r="I250">
        <v>7821.4</v>
      </c>
      <c r="J250">
        <v>4279.1000000000004</v>
      </c>
      <c r="K250">
        <v>7189.4</v>
      </c>
      <c r="L250">
        <v>59.44256575</v>
      </c>
      <c r="M250">
        <v>4905.3</v>
      </c>
      <c r="N250">
        <v>40.55743425</v>
      </c>
    </row>
    <row r="251" spans="1:14" x14ac:dyDescent="0.45">
      <c r="A251" t="s">
        <v>306</v>
      </c>
      <c r="B251" t="s">
        <v>1</v>
      </c>
      <c r="C251" t="s">
        <v>8</v>
      </c>
      <c r="D251" t="s">
        <v>3</v>
      </c>
      <c r="E251" t="s">
        <v>9</v>
      </c>
      <c r="F251" t="s">
        <v>5</v>
      </c>
      <c r="G251">
        <v>2015</v>
      </c>
      <c r="H251">
        <v>11966.9</v>
      </c>
      <c r="I251">
        <v>10802.2</v>
      </c>
      <c r="J251">
        <v>1167.0999999999999</v>
      </c>
      <c r="K251">
        <v>7423</v>
      </c>
      <c r="L251">
        <v>62.029431180000003</v>
      </c>
      <c r="M251">
        <v>4543.8999999999996</v>
      </c>
      <c r="N251">
        <v>37.970568819999997</v>
      </c>
    </row>
    <row r="252" spans="1:14" x14ac:dyDescent="0.45">
      <c r="A252" t="s">
        <v>307</v>
      </c>
      <c r="B252" t="s">
        <v>7</v>
      </c>
      <c r="C252" t="s">
        <v>8</v>
      </c>
      <c r="D252" t="s">
        <v>3</v>
      </c>
      <c r="E252" t="s">
        <v>9</v>
      </c>
      <c r="F252" t="s">
        <v>5</v>
      </c>
      <c r="G252">
        <v>1982</v>
      </c>
      <c r="H252">
        <v>11879.6</v>
      </c>
      <c r="I252">
        <v>10122.700000000001</v>
      </c>
      <c r="J252">
        <v>1768.2</v>
      </c>
      <c r="K252">
        <v>8527.5</v>
      </c>
      <c r="L252">
        <v>71.782719959999994</v>
      </c>
      <c r="M252">
        <v>3352.1</v>
      </c>
      <c r="N252">
        <v>28.217280039999999</v>
      </c>
    </row>
    <row r="253" spans="1:14" x14ac:dyDescent="0.45">
      <c r="A253" t="s">
        <v>308</v>
      </c>
      <c r="B253" t="s">
        <v>1</v>
      </c>
      <c r="C253" t="s">
        <v>76</v>
      </c>
      <c r="D253" t="s">
        <v>11</v>
      </c>
      <c r="E253" t="s">
        <v>69</v>
      </c>
      <c r="F253" t="s">
        <v>35</v>
      </c>
      <c r="G253">
        <v>2005</v>
      </c>
      <c r="H253">
        <v>11853.7</v>
      </c>
      <c r="I253">
        <v>9900.6</v>
      </c>
      <c r="J253">
        <v>1953.1</v>
      </c>
      <c r="K253">
        <v>5248.7</v>
      </c>
      <c r="L253">
        <v>44.279001489999999</v>
      </c>
      <c r="M253">
        <v>6605</v>
      </c>
      <c r="N253">
        <v>55.720998510000001</v>
      </c>
    </row>
    <row r="254" spans="1:14" x14ac:dyDescent="0.45">
      <c r="A254" t="s">
        <v>309</v>
      </c>
      <c r="B254" t="s">
        <v>1</v>
      </c>
      <c r="C254" t="s">
        <v>8</v>
      </c>
      <c r="D254" t="s">
        <v>3</v>
      </c>
      <c r="E254" t="s">
        <v>14</v>
      </c>
      <c r="F254" t="s">
        <v>5</v>
      </c>
      <c r="G254">
        <v>2004</v>
      </c>
      <c r="H254">
        <v>11821.6</v>
      </c>
      <c r="I254">
        <v>7454.6</v>
      </c>
      <c r="J254">
        <v>4369.1000000000004</v>
      </c>
      <c r="K254">
        <v>5783.2</v>
      </c>
      <c r="L254">
        <v>48.920619879999997</v>
      </c>
      <c r="M254">
        <v>6038.4</v>
      </c>
      <c r="N254">
        <v>51.079380120000003</v>
      </c>
    </row>
    <row r="255" spans="1:14" x14ac:dyDescent="0.45">
      <c r="A255" t="s">
        <v>310</v>
      </c>
      <c r="B255" t="s">
        <v>7</v>
      </c>
      <c r="C255" t="s">
        <v>8</v>
      </c>
      <c r="D255" t="s">
        <v>3</v>
      </c>
      <c r="E255" t="s">
        <v>9</v>
      </c>
      <c r="F255" t="s">
        <v>5</v>
      </c>
      <c r="G255">
        <v>2009</v>
      </c>
      <c r="H255">
        <v>11817.1</v>
      </c>
      <c r="I255">
        <v>9731.6</v>
      </c>
      <c r="J255">
        <v>2088</v>
      </c>
      <c r="K255">
        <v>7684.3</v>
      </c>
      <c r="L255">
        <v>65.026952469999998</v>
      </c>
      <c r="M255">
        <v>4132.8</v>
      </c>
      <c r="N255">
        <v>34.973047530000002</v>
      </c>
    </row>
    <row r="256" spans="1:14" x14ac:dyDescent="0.45">
      <c r="A256" t="s">
        <v>311</v>
      </c>
      <c r="B256" t="s">
        <v>1</v>
      </c>
      <c r="C256" t="s">
        <v>8</v>
      </c>
      <c r="D256" t="s">
        <v>3</v>
      </c>
      <c r="E256" t="s">
        <v>4</v>
      </c>
      <c r="F256" t="s">
        <v>5</v>
      </c>
      <c r="G256">
        <v>2017</v>
      </c>
      <c r="H256">
        <v>11783.3</v>
      </c>
      <c r="I256">
        <v>10687.5</v>
      </c>
      <c r="J256">
        <v>1099.4000000000001</v>
      </c>
      <c r="K256">
        <v>8809.7999999999993</v>
      </c>
      <c r="L256">
        <v>74.765133710000001</v>
      </c>
      <c r="M256">
        <v>2973.5</v>
      </c>
      <c r="N256">
        <v>25.234866289999999</v>
      </c>
    </row>
    <row r="257" spans="1:14" x14ac:dyDescent="0.45">
      <c r="A257" t="s">
        <v>312</v>
      </c>
      <c r="B257" t="s">
        <v>7</v>
      </c>
      <c r="C257" t="s">
        <v>313</v>
      </c>
      <c r="D257" t="s">
        <v>3</v>
      </c>
      <c r="E257" t="s">
        <v>9</v>
      </c>
      <c r="F257" t="s">
        <v>5</v>
      </c>
      <c r="G257">
        <v>2012</v>
      </c>
      <c r="H257">
        <v>11721</v>
      </c>
      <c r="I257">
        <v>11036</v>
      </c>
      <c r="J257">
        <v>689</v>
      </c>
      <c r="K257">
        <v>10605.6</v>
      </c>
      <c r="L257">
        <v>90.483747120000004</v>
      </c>
      <c r="M257">
        <v>1115.4000000000001</v>
      </c>
      <c r="N257">
        <v>9.5162528789999996</v>
      </c>
    </row>
    <row r="258" spans="1:14" x14ac:dyDescent="0.45">
      <c r="A258" t="s">
        <v>314</v>
      </c>
      <c r="B258" t="s">
        <v>1</v>
      </c>
      <c r="C258" t="s">
        <v>153</v>
      </c>
      <c r="D258" t="s">
        <v>154</v>
      </c>
      <c r="E258" t="s">
        <v>4</v>
      </c>
      <c r="F258" t="s">
        <v>5</v>
      </c>
      <c r="G258">
        <v>2019</v>
      </c>
      <c r="H258">
        <v>11715.1</v>
      </c>
      <c r="I258">
        <v>1404.1</v>
      </c>
      <c r="J258">
        <v>10305.200000000001</v>
      </c>
      <c r="K258">
        <v>7.7</v>
      </c>
      <c r="L258">
        <v>6.5727138480000002E-2</v>
      </c>
      <c r="M258">
        <v>11707.4</v>
      </c>
      <c r="N258">
        <v>99.934272859999993</v>
      </c>
    </row>
    <row r="259" spans="1:14" x14ac:dyDescent="0.45">
      <c r="A259" t="s">
        <v>315</v>
      </c>
      <c r="B259" t="s">
        <v>1</v>
      </c>
      <c r="C259" t="s">
        <v>8</v>
      </c>
      <c r="D259" t="s">
        <v>3</v>
      </c>
      <c r="E259" t="s">
        <v>85</v>
      </c>
      <c r="F259" t="s">
        <v>5</v>
      </c>
      <c r="G259">
        <v>2015</v>
      </c>
      <c r="H259">
        <v>11678.7</v>
      </c>
      <c r="I259">
        <v>9802.2000000000007</v>
      </c>
      <c r="J259">
        <v>1883.1</v>
      </c>
      <c r="K259">
        <v>9721.7999999999993</v>
      </c>
      <c r="L259">
        <v>83.243854200000001</v>
      </c>
      <c r="M259">
        <v>1956.9</v>
      </c>
      <c r="N259">
        <v>16.756145799999999</v>
      </c>
    </row>
    <row r="260" spans="1:14" x14ac:dyDescent="0.45">
      <c r="A260" t="s">
        <v>316</v>
      </c>
      <c r="B260" t="s">
        <v>1</v>
      </c>
      <c r="C260" t="s">
        <v>317</v>
      </c>
      <c r="D260" t="s">
        <v>3</v>
      </c>
      <c r="E260" t="s">
        <v>4</v>
      </c>
      <c r="F260" t="s">
        <v>5</v>
      </c>
      <c r="G260">
        <v>2002</v>
      </c>
      <c r="H260">
        <v>11640.6</v>
      </c>
      <c r="I260">
        <v>6067.8</v>
      </c>
      <c r="J260">
        <v>5576.2</v>
      </c>
      <c r="K260">
        <v>325.2</v>
      </c>
      <c r="L260">
        <v>2.7936704290000001</v>
      </c>
      <c r="M260">
        <v>11315.4</v>
      </c>
      <c r="N260">
        <v>97.206329569999994</v>
      </c>
    </row>
    <row r="261" spans="1:14" x14ac:dyDescent="0.45">
      <c r="A261" t="s">
        <v>318</v>
      </c>
      <c r="B261" t="s">
        <v>7</v>
      </c>
      <c r="C261" t="s">
        <v>8</v>
      </c>
      <c r="D261" t="s">
        <v>3</v>
      </c>
      <c r="E261" t="s">
        <v>9</v>
      </c>
      <c r="F261" t="s">
        <v>5</v>
      </c>
      <c r="G261">
        <v>2014</v>
      </c>
      <c r="H261">
        <v>11632.9</v>
      </c>
      <c r="I261">
        <v>11637.4</v>
      </c>
      <c r="J261">
        <v>0</v>
      </c>
      <c r="K261">
        <v>11489.7</v>
      </c>
      <c r="L261">
        <v>98.769008589999999</v>
      </c>
      <c r="M261">
        <v>143.19999999999999</v>
      </c>
      <c r="N261">
        <v>1.2309914120000001</v>
      </c>
    </row>
    <row r="262" spans="1:14" x14ac:dyDescent="0.45">
      <c r="A262" t="s">
        <v>319</v>
      </c>
      <c r="B262" t="s">
        <v>1</v>
      </c>
      <c r="C262" t="s">
        <v>8</v>
      </c>
      <c r="D262" t="s">
        <v>3</v>
      </c>
      <c r="E262" t="s">
        <v>38</v>
      </c>
      <c r="F262" t="s">
        <v>5</v>
      </c>
      <c r="G262">
        <v>1954</v>
      </c>
      <c r="H262">
        <v>11588.8</v>
      </c>
      <c r="I262">
        <v>11545</v>
      </c>
      <c r="J262">
        <v>47.3</v>
      </c>
      <c r="K262">
        <v>10653.5</v>
      </c>
      <c r="L262">
        <v>91.929276540000004</v>
      </c>
      <c r="M262">
        <v>935.3</v>
      </c>
      <c r="N262">
        <v>8.0707234569999997</v>
      </c>
    </row>
    <row r="263" spans="1:14" x14ac:dyDescent="0.45">
      <c r="A263" t="s">
        <v>320</v>
      </c>
      <c r="B263" t="s">
        <v>1</v>
      </c>
      <c r="C263" t="s">
        <v>8</v>
      </c>
      <c r="D263" t="s">
        <v>3</v>
      </c>
      <c r="E263" t="s">
        <v>4</v>
      </c>
      <c r="F263" t="s">
        <v>5</v>
      </c>
      <c r="G263">
        <v>2006</v>
      </c>
      <c r="H263">
        <v>11575.2</v>
      </c>
      <c r="I263">
        <v>3209.4</v>
      </c>
      <c r="J263">
        <v>8365.7999999999993</v>
      </c>
      <c r="K263">
        <v>747.3</v>
      </c>
      <c r="L263">
        <v>6.4560439560000003</v>
      </c>
      <c r="M263">
        <v>10827.9</v>
      </c>
      <c r="N263">
        <v>93.543956039999998</v>
      </c>
    </row>
    <row r="264" spans="1:14" x14ac:dyDescent="0.45">
      <c r="A264" t="s">
        <v>321</v>
      </c>
      <c r="B264" t="s">
        <v>1</v>
      </c>
      <c r="C264" t="s">
        <v>322</v>
      </c>
      <c r="D264" t="s">
        <v>11</v>
      </c>
      <c r="E264" t="s">
        <v>12</v>
      </c>
      <c r="F264" t="s">
        <v>5</v>
      </c>
      <c r="G264">
        <v>2019</v>
      </c>
      <c r="H264">
        <v>11566.2</v>
      </c>
      <c r="I264">
        <v>7224.2</v>
      </c>
      <c r="J264">
        <v>4349.3999999999996</v>
      </c>
      <c r="K264">
        <v>4663</v>
      </c>
      <c r="L264">
        <v>40.315747610000003</v>
      </c>
      <c r="M264">
        <v>6903.2</v>
      </c>
      <c r="N264">
        <v>59.684252389999997</v>
      </c>
    </row>
    <row r="265" spans="1:14" x14ac:dyDescent="0.45">
      <c r="A265" t="s">
        <v>323</v>
      </c>
      <c r="B265" t="s">
        <v>1</v>
      </c>
      <c r="C265" t="s">
        <v>324</v>
      </c>
      <c r="D265" t="s">
        <v>3</v>
      </c>
      <c r="E265" t="s">
        <v>47</v>
      </c>
      <c r="F265" t="s">
        <v>5</v>
      </c>
      <c r="G265">
        <v>2010</v>
      </c>
      <c r="H265">
        <v>11481.4</v>
      </c>
      <c r="I265">
        <v>11486.5</v>
      </c>
      <c r="J265">
        <v>0</v>
      </c>
      <c r="K265">
        <v>235.7</v>
      </c>
      <c r="L265">
        <v>2.0528855369999999</v>
      </c>
      <c r="M265">
        <v>11245.7</v>
      </c>
      <c r="N265">
        <v>97.947114459999995</v>
      </c>
    </row>
    <row r="266" spans="1:14" x14ac:dyDescent="0.45">
      <c r="A266" t="s">
        <v>325</v>
      </c>
      <c r="B266" t="s">
        <v>65</v>
      </c>
      <c r="C266" t="s">
        <v>8</v>
      </c>
      <c r="D266" t="s">
        <v>3</v>
      </c>
      <c r="E266" t="s">
        <v>38</v>
      </c>
      <c r="F266" t="s">
        <v>35</v>
      </c>
      <c r="G266">
        <v>2005</v>
      </c>
      <c r="H266">
        <v>11480.4</v>
      </c>
      <c r="I266">
        <v>8241.1</v>
      </c>
      <c r="J266">
        <v>3243.6</v>
      </c>
      <c r="K266">
        <v>11420.3</v>
      </c>
      <c r="L266">
        <v>99.476499079999996</v>
      </c>
      <c r="M266">
        <v>60.1</v>
      </c>
      <c r="N266">
        <v>0.52350092329999998</v>
      </c>
    </row>
    <row r="267" spans="1:14" x14ac:dyDescent="0.45">
      <c r="A267" t="s">
        <v>326</v>
      </c>
      <c r="B267" t="s">
        <v>1</v>
      </c>
      <c r="C267" t="s">
        <v>8</v>
      </c>
      <c r="D267" t="s">
        <v>3</v>
      </c>
      <c r="E267" t="s">
        <v>4</v>
      </c>
      <c r="F267" t="s">
        <v>5</v>
      </c>
      <c r="G267">
        <v>2012</v>
      </c>
      <c r="H267">
        <v>11475.1</v>
      </c>
      <c r="I267">
        <v>3956.3</v>
      </c>
      <c r="J267">
        <v>7518.7</v>
      </c>
      <c r="K267">
        <v>545.70000000000005</v>
      </c>
      <c r="L267">
        <v>4.7555141130000003</v>
      </c>
      <c r="M267">
        <v>10929.4</v>
      </c>
      <c r="N267">
        <v>95.244485890000007</v>
      </c>
    </row>
    <row r="268" spans="1:14" x14ac:dyDescent="0.45">
      <c r="A268" t="s">
        <v>327</v>
      </c>
      <c r="B268" t="s">
        <v>1</v>
      </c>
      <c r="C268" t="s">
        <v>46</v>
      </c>
      <c r="D268" t="s">
        <v>244</v>
      </c>
      <c r="E268" t="s">
        <v>4</v>
      </c>
      <c r="F268" t="s">
        <v>5</v>
      </c>
      <c r="G268">
        <v>2017</v>
      </c>
      <c r="H268">
        <v>11459.5</v>
      </c>
      <c r="I268">
        <v>7069.7</v>
      </c>
      <c r="J268">
        <v>4399.6000000000004</v>
      </c>
      <c r="K268">
        <v>5201.3999999999996</v>
      </c>
      <c r="L268">
        <v>45.389414899999998</v>
      </c>
      <c r="M268">
        <v>6258.1</v>
      </c>
      <c r="N268">
        <v>54.610585100000002</v>
      </c>
    </row>
    <row r="269" spans="1:14" x14ac:dyDescent="0.45">
      <c r="A269" t="s">
        <v>328</v>
      </c>
      <c r="B269" t="s">
        <v>1</v>
      </c>
      <c r="C269" t="s">
        <v>8</v>
      </c>
      <c r="D269" t="s">
        <v>3</v>
      </c>
      <c r="E269" t="s">
        <v>14</v>
      </c>
      <c r="F269" t="s">
        <v>5</v>
      </c>
      <c r="G269">
        <v>2006</v>
      </c>
      <c r="H269">
        <v>11428.5</v>
      </c>
      <c r="I269">
        <v>7562.2</v>
      </c>
      <c r="J269">
        <v>3868</v>
      </c>
      <c r="K269">
        <v>6108.9</v>
      </c>
      <c r="L269">
        <v>53.453209080000001</v>
      </c>
      <c r="M269">
        <v>5319.6</v>
      </c>
      <c r="N269">
        <v>46.546790919999999</v>
      </c>
    </row>
    <row r="270" spans="1:14" x14ac:dyDescent="0.45">
      <c r="A270" t="s">
        <v>329</v>
      </c>
      <c r="B270" t="s">
        <v>1</v>
      </c>
      <c r="C270" t="s">
        <v>8</v>
      </c>
      <c r="D270" t="s">
        <v>3</v>
      </c>
      <c r="E270" t="s">
        <v>38</v>
      </c>
      <c r="F270" t="s">
        <v>35</v>
      </c>
      <c r="G270">
        <v>1968</v>
      </c>
      <c r="H270">
        <v>11314.2</v>
      </c>
      <c r="I270">
        <v>11274.4</v>
      </c>
      <c r="J270">
        <v>44.7</v>
      </c>
      <c r="K270">
        <v>11264.9</v>
      </c>
      <c r="L270">
        <v>99.564264379999997</v>
      </c>
      <c r="M270">
        <v>49.3</v>
      </c>
      <c r="N270">
        <v>0.43573562430000001</v>
      </c>
    </row>
    <row r="271" spans="1:14" x14ac:dyDescent="0.45">
      <c r="A271" t="s">
        <v>330</v>
      </c>
      <c r="B271" t="s">
        <v>1</v>
      </c>
      <c r="C271" t="s">
        <v>8</v>
      </c>
      <c r="D271" t="s">
        <v>3</v>
      </c>
      <c r="E271" t="s">
        <v>14</v>
      </c>
      <c r="F271" t="s">
        <v>5</v>
      </c>
      <c r="G271">
        <v>2005</v>
      </c>
      <c r="H271">
        <v>11238.2</v>
      </c>
      <c r="I271">
        <v>4609.5</v>
      </c>
      <c r="J271">
        <v>6628.7</v>
      </c>
      <c r="K271">
        <v>839.9</v>
      </c>
      <c r="L271">
        <v>7.4736167709999997</v>
      </c>
      <c r="M271">
        <v>10398.299999999999</v>
      </c>
      <c r="N271">
        <v>92.526383229999993</v>
      </c>
    </row>
    <row r="272" spans="1:14" x14ac:dyDescent="0.45">
      <c r="A272" t="s">
        <v>331</v>
      </c>
      <c r="B272" t="s">
        <v>1</v>
      </c>
      <c r="C272" t="s">
        <v>32</v>
      </c>
      <c r="D272" t="s">
        <v>33</v>
      </c>
      <c r="E272" t="s">
        <v>34</v>
      </c>
      <c r="F272" t="s">
        <v>5</v>
      </c>
      <c r="G272">
        <v>2013</v>
      </c>
      <c r="H272">
        <v>11232.6</v>
      </c>
      <c r="I272">
        <v>9653.7999999999993</v>
      </c>
      <c r="J272">
        <v>1583.7</v>
      </c>
      <c r="K272">
        <v>4076.4</v>
      </c>
      <c r="L272">
        <v>36.29079643</v>
      </c>
      <c r="M272">
        <v>7156.2</v>
      </c>
      <c r="N272">
        <v>63.70920357</v>
      </c>
    </row>
    <row r="273" spans="1:14" x14ac:dyDescent="0.45">
      <c r="A273" t="s">
        <v>332</v>
      </c>
      <c r="B273" t="s">
        <v>1</v>
      </c>
      <c r="C273" t="s">
        <v>8</v>
      </c>
      <c r="D273" t="s">
        <v>3</v>
      </c>
      <c r="E273" t="s">
        <v>47</v>
      </c>
      <c r="F273" t="s">
        <v>5</v>
      </c>
      <c r="G273">
        <v>2010</v>
      </c>
      <c r="H273">
        <v>11198.8</v>
      </c>
      <c r="I273">
        <v>5328.3</v>
      </c>
      <c r="J273">
        <v>5873.2</v>
      </c>
      <c r="K273">
        <v>961.9</v>
      </c>
      <c r="L273">
        <v>8.5893131409999999</v>
      </c>
      <c r="M273">
        <v>10236.9</v>
      </c>
      <c r="N273">
        <v>91.410686859999998</v>
      </c>
    </row>
    <row r="274" spans="1:14" x14ac:dyDescent="0.45">
      <c r="A274" t="s">
        <v>333</v>
      </c>
      <c r="B274" t="s">
        <v>1</v>
      </c>
      <c r="C274" t="s">
        <v>8</v>
      </c>
      <c r="D274" t="s">
        <v>3</v>
      </c>
      <c r="E274" t="s">
        <v>4</v>
      </c>
      <c r="F274" t="s">
        <v>5</v>
      </c>
      <c r="G274">
        <v>2006</v>
      </c>
      <c r="H274">
        <v>11196</v>
      </c>
      <c r="I274">
        <v>10287.700000000001</v>
      </c>
      <c r="J274">
        <v>910.9</v>
      </c>
      <c r="K274">
        <v>656.6</v>
      </c>
      <c r="L274">
        <v>5.8645944979999998</v>
      </c>
      <c r="M274">
        <v>10539.4</v>
      </c>
      <c r="N274">
        <v>94.135405500000005</v>
      </c>
    </row>
    <row r="275" spans="1:14" x14ac:dyDescent="0.45">
      <c r="A275" t="s">
        <v>334</v>
      </c>
      <c r="B275" t="s">
        <v>1</v>
      </c>
      <c r="C275" t="s">
        <v>335</v>
      </c>
      <c r="D275" t="s">
        <v>3</v>
      </c>
      <c r="E275" t="s">
        <v>336</v>
      </c>
      <c r="F275" t="s">
        <v>5</v>
      </c>
      <c r="G275">
        <v>2011</v>
      </c>
      <c r="H275">
        <v>11149</v>
      </c>
      <c r="I275">
        <v>3260</v>
      </c>
      <c r="J275">
        <v>7882.2</v>
      </c>
      <c r="K275">
        <v>1292</v>
      </c>
      <c r="L275">
        <v>11.588483269999999</v>
      </c>
      <c r="M275">
        <v>9857</v>
      </c>
      <c r="N275">
        <v>88.411516730000002</v>
      </c>
    </row>
    <row r="276" spans="1:14" x14ac:dyDescent="0.45">
      <c r="A276" t="s">
        <v>337</v>
      </c>
      <c r="B276" t="s">
        <v>1</v>
      </c>
      <c r="C276" t="s">
        <v>20</v>
      </c>
      <c r="D276" t="s">
        <v>3</v>
      </c>
      <c r="E276" t="s">
        <v>38</v>
      </c>
      <c r="F276" t="s">
        <v>35</v>
      </c>
      <c r="G276">
        <v>1994</v>
      </c>
      <c r="H276">
        <v>11063.6</v>
      </c>
      <c r="I276">
        <v>11073.6</v>
      </c>
      <c r="J276">
        <v>0</v>
      </c>
      <c r="K276">
        <v>11061.4</v>
      </c>
      <c r="L276">
        <v>99.980114970000002</v>
      </c>
      <c r="M276">
        <v>2.2000000000000002</v>
      </c>
      <c r="N276">
        <v>1.9885028379999999E-2</v>
      </c>
    </row>
    <row r="277" spans="1:14" x14ac:dyDescent="0.45">
      <c r="A277" t="s">
        <v>338</v>
      </c>
      <c r="B277" t="s">
        <v>7</v>
      </c>
      <c r="C277" t="s">
        <v>8</v>
      </c>
      <c r="D277" t="s">
        <v>3</v>
      </c>
      <c r="E277" t="s">
        <v>9</v>
      </c>
      <c r="F277" t="s">
        <v>5</v>
      </c>
      <c r="G277">
        <v>1999</v>
      </c>
      <c r="H277">
        <v>11060.5</v>
      </c>
      <c r="I277">
        <v>6055.9</v>
      </c>
      <c r="J277">
        <v>5004.6000000000004</v>
      </c>
      <c r="K277">
        <v>4661.1000000000004</v>
      </c>
      <c r="L277">
        <v>42.141856150000002</v>
      </c>
      <c r="M277">
        <v>6399.4</v>
      </c>
      <c r="N277">
        <v>57.858143849999998</v>
      </c>
    </row>
    <row r="278" spans="1:14" x14ac:dyDescent="0.45">
      <c r="A278" t="s">
        <v>339</v>
      </c>
      <c r="B278" t="s">
        <v>1</v>
      </c>
      <c r="C278" t="s">
        <v>8</v>
      </c>
      <c r="D278" t="s">
        <v>3</v>
      </c>
      <c r="E278" t="s">
        <v>278</v>
      </c>
      <c r="F278" t="s">
        <v>35</v>
      </c>
      <c r="G278">
        <v>1999</v>
      </c>
      <c r="H278">
        <v>11051.4</v>
      </c>
      <c r="I278">
        <v>11056.2</v>
      </c>
      <c r="J278">
        <v>0</v>
      </c>
      <c r="K278">
        <v>11051.4</v>
      </c>
      <c r="L278">
        <v>100</v>
      </c>
      <c r="M278">
        <v>0</v>
      </c>
      <c r="N278">
        <v>0</v>
      </c>
    </row>
    <row r="279" spans="1:14" x14ac:dyDescent="0.45">
      <c r="A279" t="s">
        <v>340</v>
      </c>
      <c r="B279" t="s">
        <v>1</v>
      </c>
      <c r="C279" t="s">
        <v>58</v>
      </c>
      <c r="D279" t="s">
        <v>59</v>
      </c>
      <c r="E279" t="s">
        <v>60</v>
      </c>
      <c r="F279" t="s">
        <v>5</v>
      </c>
      <c r="G279">
        <v>2004</v>
      </c>
      <c r="H279">
        <v>11014.9</v>
      </c>
      <c r="I279">
        <v>5793.9</v>
      </c>
      <c r="J279">
        <v>5236.3</v>
      </c>
      <c r="K279">
        <v>0</v>
      </c>
      <c r="L279">
        <v>0</v>
      </c>
      <c r="M279">
        <v>11014.9</v>
      </c>
      <c r="N279">
        <v>100</v>
      </c>
    </row>
    <row r="280" spans="1:14" x14ac:dyDescent="0.45">
      <c r="A280" t="s">
        <v>341</v>
      </c>
      <c r="B280" t="s">
        <v>7</v>
      </c>
      <c r="C280" t="s">
        <v>20</v>
      </c>
      <c r="D280" t="s">
        <v>3</v>
      </c>
      <c r="E280" t="s">
        <v>9</v>
      </c>
      <c r="F280" t="s">
        <v>35</v>
      </c>
      <c r="G280">
        <v>2011</v>
      </c>
      <c r="H280">
        <v>10985.7</v>
      </c>
      <c r="I280">
        <v>0</v>
      </c>
      <c r="J280">
        <v>11024.9</v>
      </c>
      <c r="K280">
        <v>6916.9</v>
      </c>
      <c r="L280">
        <v>62.962760680000002</v>
      </c>
      <c r="M280">
        <v>4068.8</v>
      </c>
      <c r="N280">
        <v>37.037239319999998</v>
      </c>
    </row>
    <row r="281" spans="1:14" x14ac:dyDescent="0.45">
      <c r="A281" t="s">
        <v>342</v>
      </c>
      <c r="B281" t="s">
        <v>1</v>
      </c>
      <c r="C281" t="s">
        <v>29</v>
      </c>
      <c r="D281" t="s">
        <v>11</v>
      </c>
      <c r="E281" t="s">
        <v>12</v>
      </c>
      <c r="F281" t="s">
        <v>5</v>
      </c>
      <c r="G281">
        <v>2019</v>
      </c>
      <c r="H281">
        <v>10974</v>
      </c>
      <c r="I281">
        <v>9511.5</v>
      </c>
      <c r="J281">
        <v>1474.2</v>
      </c>
      <c r="K281">
        <v>3645.8</v>
      </c>
      <c r="L281">
        <v>33.222161470000003</v>
      </c>
      <c r="M281">
        <v>7328.2</v>
      </c>
      <c r="N281">
        <v>66.777838529999997</v>
      </c>
    </row>
    <row r="282" spans="1:14" x14ac:dyDescent="0.45">
      <c r="A282" t="s">
        <v>343</v>
      </c>
      <c r="B282" t="s">
        <v>1</v>
      </c>
      <c r="C282" t="s">
        <v>8</v>
      </c>
      <c r="D282" t="s">
        <v>3</v>
      </c>
      <c r="E282" t="s">
        <v>4</v>
      </c>
      <c r="F282" t="s">
        <v>5</v>
      </c>
      <c r="G282">
        <v>1993</v>
      </c>
      <c r="H282">
        <v>10968.8</v>
      </c>
      <c r="I282">
        <v>5006.3999999999996</v>
      </c>
      <c r="J282">
        <v>5977.1</v>
      </c>
      <c r="K282">
        <v>7034.7</v>
      </c>
      <c r="L282">
        <v>64.133724749999999</v>
      </c>
      <c r="M282">
        <v>3934.1</v>
      </c>
      <c r="N282">
        <v>35.866275250000001</v>
      </c>
    </row>
    <row r="283" spans="1:14" x14ac:dyDescent="0.45">
      <c r="A283" t="s">
        <v>344</v>
      </c>
      <c r="B283" t="s">
        <v>7</v>
      </c>
      <c r="C283" t="s">
        <v>232</v>
      </c>
      <c r="D283" t="s">
        <v>3</v>
      </c>
      <c r="E283" t="s">
        <v>44</v>
      </c>
      <c r="F283" t="s">
        <v>5</v>
      </c>
      <c r="G283">
        <v>2012</v>
      </c>
      <c r="H283">
        <v>10939.4</v>
      </c>
      <c r="I283">
        <v>9358.7999999999993</v>
      </c>
      <c r="J283">
        <v>1614.9</v>
      </c>
      <c r="K283">
        <v>10795.1</v>
      </c>
      <c r="L283">
        <v>98.680914860000001</v>
      </c>
      <c r="M283">
        <v>144.30000000000001</v>
      </c>
      <c r="N283">
        <v>1.319085142</v>
      </c>
    </row>
    <row r="284" spans="1:14" x14ac:dyDescent="0.45">
      <c r="A284" t="s">
        <v>345</v>
      </c>
      <c r="B284" t="s">
        <v>1</v>
      </c>
      <c r="C284" t="s">
        <v>8</v>
      </c>
      <c r="D284" t="s">
        <v>11</v>
      </c>
      <c r="E284" t="s">
        <v>12</v>
      </c>
      <c r="F284" t="s">
        <v>5</v>
      </c>
      <c r="G284">
        <v>2006</v>
      </c>
      <c r="H284">
        <v>10933.4</v>
      </c>
      <c r="I284">
        <v>10905.7</v>
      </c>
      <c r="J284">
        <v>38</v>
      </c>
      <c r="K284">
        <v>8.1</v>
      </c>
      <c r="L284">
        <v>7.4084914119999998E-2</v>
      </c>
      <c r="M284">
        <v>10925.3</v>
      </c>
      <c r="N284">
        <v>99.925915090000004</v>
      </c>
    </row>
    <row r="285" spans="1:14" x14ac:dyDescent="0.45">
      <c r="A285" t="s">
        <v>346</v>
      </c>
      <c r="B285" t="s">
        <v>1</v>
      </c>
      <c r="C285" t="s">
        <v>153</v>
      </c>
      <c r="D285" t="s">
        <v>154</v>
      </c>
      <c r="E285" t="s">
        <v>155</v>
      </c>
      <c r="F285" t="s">
        <v>35</v>
      </c>
      <c r="G285">
        <v>2011</v>
      </c>
      <c r="H285">
        <v>10914.2</v>
      </c>
      <c r="I285">
        <v>9203.4</v>
      </c>
      <c r="J285">
        <v>1721.9</v>
      </c>
      <c r="K285">
        <v>8573.2000000000007</v>
      </c>
      <c r="L285">
        <v>78.550878670000003</v>
      </c>
      <c r="M285">
        <v>2341</v>
      </c>
      <c r="N285">
        <v>21.449121330000001</v>
      </c>
    </row>
    <row r="286" spans="1:14" x14ac:dyDescent="0.45">
      <c r="A286" t="s">
        <v>347</v>
      </c>
      <c r="B286" t="s">
        <v>1</v>
      </c>
      <c r="C286" t="s">
        <v>115</v>
      </c>
      <c r="D286" t="s">
        <v>116</v>
      </c>
      <c r="E286" t="s">
        <v>278</v>
      </c>
      <c r="F286" t="s">
        <v>35</v>
      </c>
      <c r="G286">
        <v>1995</v>
      </c>
      <c r="H286">
        <v>10902.6</v>
      </c>
      <c r="I286">
        <v>10910.3</v>
      </c>
      <c r="J286">
        <v>0</v>
      </c>
      <c r="K286">
        <v>10773.4</v>
      </c>
      <c r="L286">
        <v>98.814961569999994</v>
      </c>
      <c r="M286">
        <v>129.19999999999999</v>
      </c>
      <c r="N286">
        <v>1.1850384309999999</v>
      </c>
    </row>
    <row r="287" spans="1:14" x14ac:dyDescent="0.45">
      <c r="A287" t="s">
        <v>348</v>
      </c>
      <c r="B287" t="s">
        <v>1</v>
      </c>
      <c r="C287" t="s">
        <v>20</v>
      </c>
      <c r="D287" t="s">
        <v>3</v>
      </c>
      <c r="E287" t="s">
        <v>9</v>
      </c>
      <c r="F287" t="s">
        <v>5</v>
      </c>
      <c r="G287">
        <v>2010</v>
      </c>
      <c r="H287">
        <v>10783.2</v>
      </c>
      <c r="I287">
        <v>7412.3</v>
      </c>
      <c r="J287">
        <v>3373.2</v>
      </c>
      <c r="K287">
        <v>5819.8</v>
      </c>
      <c r="L287">
        <v>53.970991910000002</v>
      </c>
      <c r="M287">
        <v>4963.3999999999996</v>
      </c>
      <c r="N287">
        <v>46.029008089999998</v>
      </c>
    </row>
    <row r="288" spans="1:14" x14ac:dyDescent="0.45">
      <c r="A288" t="s">
        <v>349</v>
      </c>
      <c r="B288" t="s">
        <v>1</v>
      </c>
      <c r="C288" t="s">
        <v>8</v>
      </c>
      <c r="D288" t="s">
        <v>11</v>
      </c>
      <c r="E288" t="s">
        <v>12</v>
      </c>
      <c r="F288" t="s">
        <v>5</v>
      </c>
      <c r="G288">
        <v>1999</v>
      </c>
      <c r="H288">
        <v>10776.2</v>
      </c>
      <c r="I288">
        <v>10712.5</v>
      </c>
      <c r="J288">
        <v>63.9</v>
      </c>
      <c r="K288">
        <v>291.89999999999998</v>
      </c>
      <c r="L288">
        <v>2.7087470539999998</v>
      </c>
      <c r="M288">
        <v>10484.299999999999</v>
      </c>
      <c r="N288">
        <v>97.291252950000001</v>
      </c>
    </row>
    <row r="289" spans="1:14" x14ac:dyDescent="0.45">
      <c r="A289" t="s">
        <v>350</v>
      </c>
      <c r="B289" t="s">
        <v>1</v>
      </c>
      <c r="C289" t="s">
        <v>8</v>
      </c>
      <c r="D289" t="s">
        <v>11</v>
      </c>
      <c r="E289" t="s">
        <v>12</v>
      </c>
      <c r="F289" t="s">
        <v>5</v>
      </c>
      <c r="G289">
        <v>2010</v>
      </c>
      <c r="H289">
        <v>10772</v>
      </c>
      <c r="I289">
        <v>595.6</v>
      </c>
      <c r="J289">
        <v>10180.6</v>
      </c>
      <c r="K289">
        <v>689.2</v>
      </c>
      <c r="L289">
        <v>6.3980690679999999</v>
      </c>
      <c r="M289">
        <v>10082.799999999999</v>
      </c>
      <c r="N289">
        <v>93.601930929999995</v>
      </c>
    </row>
    <row r="290" spans="1:14" x14ac:dyDescent="0.45">
      <c r="A290" t="s">
        <v>351</v>
      </c>
      <c r="B290" t="s">
        <v>1</v>
      </c>
      <c r="C290" t="s">
        <v>8</v>
      </c>
      <c r="D290" t="s">
        <v>3</v>
      </c>
      <c r="E290" t="s">
        <v>38</v>
      </c>
      <c r="F290" t="s">
        <v>35</v>
      </c>
      <c r="G290">
        <v>1984</v>
      </c>
      <c r="H290">
        <v>10771.3</v>
      </c>
      <c r="I290">
        <v>10772.2</v>
      </c>
      <c r="J290">
        <v>0.6</v>
      </c>
      <c r="K290">
        <v>10575.9</v>
      </c>
      <c r="L290">
        <v>98.185919990000002</v>
      </c>
      <c r="M290">
        <v>195.4</v>
      </c>
      <c r="N290">
        <v>1.814080009</v>
      </c>
    </row>
    <row r="291" spans="1:14" x14ac:dyDescent="0.45">
      <c r="A291" t="s">
        <v>352</v>
      </c>
      <c r="B291" t="s">
        <v>1</v>
      </c>
      <c r="C291" t="s">
        <v>8</v>
      </c>
      <c r="D291" t="s">
        <v>3</v>
      </c>
      <c r="E291" t="s">
        <v>38</v>
      </c>
      <c r="F291" t="s">
        <v>35</v>
      </c>
      <c r="G291">
        <v>2004</v>
      </c>
      <c r="H291">
        <v>10767.6</v>
      </c>
      <c r="I291">
        <v>1893.8</v>
      </c>
      <c r="J291">
        <v>8878.2000000000007</v>
      </c>
      <c r="K291">
        <v>10569.4</v>
      </c>
      <c r="L291">
        <v>98.159292690000001</v>
      </c>
      <c r="M291">
        <v>198.2</v>
      </c>
      <c r="N291">
        <v>1.840707307</v>
      </c>
    </row>
    <row r="292" spans="1:14" x14ac:dyDescent="0.45">
      <c r="A292" t="s">
        <v>353</v>
      </c>
      <c r="B292" t="s">
        <v>1</v>
      </c>
      <c r="C292" t="s">
        <v>8</v>
      </c>
      <c r="D292" t="s">
        <v>3</v>
      </c>
      <c r="E292" t="s">
        <v>38</v>
      </c>
      <c r="F292" t="s">
        <v>35</v>
      </c>
      <c r="G292">
        <v>1995</v>
      </c>
      <c r="H292">
        <v>10760.4</v>
      </c>
      <c r="I292">
        <v>10630.4</v>
      </c>
      <c r="J292">
        <v>133.80000000000001</v>
      </c>
      <c r="K292">
        <v>10584.7</v>
      </c>
      <c r="L292">
        <v>98.367161069999995</v>
      </c>
      <c r="M292">
        <v>175.7</v>
      </c>
      <c r="N292">
        <v>1.632838928</v>
      </c>
    </row>
    <row r="293" spans="1:14" x14ac:dyDescent="0.45">
      <c r="A293" t="s">
        <v>354</v>
      </c>
      <c r="B293" t="s">
        <v>7</v>
      </c>
      <c r="C293" t="s">
        <v>8</v>
      </c>
      <c r="D293" t="s">
        <v>3</v>
      </c>
      <c r="E293" t="s">
        <v>14</v>
      </c>
      <c r="F293" t="s">
        <v>5</v>
      </c>
      <c r="G293">
        <v>2018</v>
      </c>
      <c r="H293">
        <v>10756.4</v>
      </c>
      <c r="I293">
        <v>7776.1</v>
      </c>
      <c r="J293">
        <v>2980.3</v>
      </c>
      <c r="K293">
        <v>3834.9</v>
      </c>
      <c r="L293">
        <v>35.652262839999999</v>
      </c>
      <c r="M293">
        <v>6921.5</v>
      </c>
      <c r="N293">
        <v>64.347737159999994</v>
      </c>
    </row>
    <row r="294" spans="1:14" x14ac:dyDescent="0.45">
      <c r="A294" t="s">
        <v>355</v>
      </c>
      <c r="B294" t="s">
        <v>7</v>
      </c>
      <c r="C294" t="s">
        <v>8</v>
      </c>
      <c r="D294" t="s">
        <v>3</v>
      </c>
      <c r="E294" t="s">
        <v>14</v>
      </c>
      <c r="F294" t="s">
        <v>5</v>
      </c>
      <c r="G294">
        <v>2002</v>
      </c>
      <c r="H294">
        <v>10731.7</v>
      </c>
      <c r="I294">
        <v>6224.9</v>
      </c>
      <c r="J294">
        <v>4506.8</v>
      </c>
      <c r="K294">
        <v>3239.2</v>
      </c>
      <c r="L294">
        <v>30.183475130000001</v>
      </c>
      <c r="M294">
        <v>7492.5</v>
      </c>
      <c r="N294">
        <v>69.816524869999995</v>
      </c>
    </row>
    <row r="295" spans="1:14" x14ac:dyDescent="0.45">
      <c r="A295" t="s">
        <v>356</v>
      </c>
      <c r="B295" t="s">
        <v>7</v>
      </c>
      <c r="C295" t="s">
        <v>8</v>
      </c>
      <c r="D295" t="s">
        <v>3</v>
      </c>
      <c r="E295" t="s">
        <v>14</v>
      </c>
      <c r="F295" t="s">
        <v>5</v>
      </c>
      <c r="G295">
        <v>2014</v>
      </c>
      <c r="H295">
        <v>10712.8</v>
      </c>
      <c r="I295">
        <v>6060.2</v>
      </c>
      <c r="J295">
        <v>4663.3999999999996</v>
      </c>
      <c r="K295">
        <v>4257.3999999999996</v>
      </c>
      <c r="L295">
        <v>39.741244119999998</v>
      </c>
      <c r="M295">
        <v>6455.4</v>
      </c>
      <c r="N295">
        <v>60.258755880000002</v>
      </c>
    </row>
    <row r="296" spans="1:14" x14ac:dyDescent="0.45">
      <c r="A296" t="s">
        <v>357</v>
      </c>
      <c r="B296" t="s">
        <v>65</v>
      </c>
      <c r="C296" t="s">
        <v>20</v>
      </c>
      <c r="D296" t="s">
        <v>3</v>
      </c>
      <c r="E296" t="s">
        <v>9</v>
      </c>
      <c r="F296" t="s">
        <v>35</v>
      </c>
      <c r="G296">
        <v>2012</v>
      </c>
      <c r="H296">
        <v>10711.2</v>
      </c>
      <c r="I296">
        <v>10381.4</v>
      </c>
      <c r="J296">
        <v>333.5</v>
      </c>
      <c r="K296">
        <v>73.400000000000006</v>
      </c>
      <c r="L296">
        <v>0.68526402269999998</v>
      </c>
      <c r="M296">
        <v>10637.8</v>
      </c>
      <c r="N296">
        <v>99.314735979999995</v>
      </c>
    </row>
    <row r="297" spans="1:14" x14ac:dyDescent="0.45">
      <c r="A297" t="s">
        <v>358</v>
      </c>
      <c r="B297" t="s">
        <v>1</v>
      </c>
      <c r="C297" t="s">
        <v>20</v>
      </c>
      <c r="D297" t="s">
        <v>3</v>
      </c>
      <c r="E297" t="s">
        <v>38</v>
      </c>
      <c r="F297" t="s">
        <v>5</v>
      </c>
      <c r="G297">
        <v>1967</v>
      </c>
      <c r="H297">
        <v>10696.6</v>
      </c>
      <c r="I297">
        <v>8379.6</v>
      </c>
      <c r="J297">
        <v>2317</v>
      </c>
      <c r="K297">
        <v>8204.5</v>
      </c>
      <c r="L297">
        <v>76.701942669999994</v>
      </c>
      <c r="M297">
        <v>2492.1</v>
      </c>
      <c r="N297">
        <v>23.298057329999999</v>
      </c>
    </row>
    <row r="298" spans="1:14" x14ac:dyDescent="0.45">
      <c r="A298" t="s">
        <v>359</v>
      </c>
      <c r="B298" t="s">
        <v>1</v>
      </c>
      <c r="C298" t="s">
        <v>191</v>
      </c>
      <c r="D298" t="s">
        <v>3</v>
      </c>
      <c r="E298" t="s">
        <v>38</v>
      </c>
      <c r="F298" t="s">
        <v>35</v>
      </c>
      <c r="G298">
        <v>1979</v>
      </c>
      <c r="H298">
        <v>10616.1</v>
      </c>
      <c r="I298">
        <v>10020.5</v>
      </c>
      <c r="J298">
        <v>599.29999999999995</v>
      </c>
      <c r="K298">
        <v>9771.2999999999993</v>
      </c>
      <c r="L298">
        <v>92.042275410000002</v>
      </c>
      <c r="M298">
        <v>844.8</v>
      </c>
      <c r="N298">
        <v>7.9577245879999996</v>
      </c>
    </row>
    <row r="299" spans="1:14" x14ac:dyDescent="0.45">
      <c r="A299" t="s">
        <v>360</v>
      </c>
      <c r="B299" t="s">
        <v>1</v>
      </c>
      <c r="C299" t="s">
        <v>8</v>
      </c>
      <c r="D299" t="s">
        <v>11</v>
      </c>
      <c r="E299" t="s">
        <v>138</v>
      </c>
      <c r="F299" t="s">
        <v>35</v>
      </c>
      <c r="G299">
        <v>1996</v>
      </c>
      <c r="H299">
        <v>10607</v>
      </c>
      <c r="I299">
        <v>10520.3</v>
      </c>
      <c r="J299">
        <v>92.7</v>
      </c>
      <c r="K299">
        <v>8371.2999999999993</v>
      </c>
      <c r="L299">
        <v>78.922409729999998</v>
      </c>
      <c r="M299">
        <v>2235.6999999999998</v>
      </c>
      <c r="N299">
        <v>21.077590270000002</v>
      </c>
    </row>
    <row r="300" spans="1:14" x14ac:dyDescent="0.45">
      <c r="A300" t="s">
        <v>361</v>
      </c>
      <c r="B300" t="s">
        <v>1</v>
      </c>
      <c r="C300" t="s">
        <v>8</v>
      </c>
      <c r="D300" t="s">
        <v>3</v>
      </c>
      <c r="E300" t="s">
        <v>38</v>
      </c>
      <c r="F300" t="s">
        <v>35</v>
      </c>
      <c r="G300">
        <v>1994</v>
      </c>
      <c r="H300">
        <v>10571.1</v>
      </c>
      <c r="I300">
        <v>10570.2</v>
      </c>
      <c r="J300">
        <v>4.5</v>
      </c>
      <c r="K300">
        <v>10555.6</v>
      </c>
      <c r="L300">
        <v>99.853373820000002</v>
      </c>
      <c r="M300">
        <v>15.5</v>
      </c>
      <c r="N300">
        <v>0.14662617889999999</v>
      </c>
    </row>
    <row r="301" spans="1:14" x14ac:dyDescent="0.45">
      <c r="A301" t="s">
        <v>362</v>
      </c>
      <c r="B301" t="s">
        <v>1</v>
      </c>
      <c r="C301" t="s">
        <v>20</v>
      </c>
      <c r="D301" t="s">
        <v>3</v>
      </c>
      <c r="E301" t="s">
        <v>38</v>
      </c>
      <c r="F301" t="s">
        <v>35</v>
      </c>
      <c r="G301">
        <v>2012</v>
      </c>
      <c r="H301">
        <v>10489.6</v>
      </c>
      <c r="I301">
        <v>10191.700000000001</v>
      </c>
      <c r="J301">
        <v>301.5</v>
      </c>
      <c r="K301">
        <v>10165.9</v>
      </c>
      <c r="L301">
        <v>96.914086330000003</v>
      </c>
      <c r="M301">
        <v>323.7</v>
      </c>
      <c r="N301">
        <v>3.0859136669999998</v>
      </c>
    </row>
    <row r="302" spans="1:14" x14ac:dyDescent="0.45">
      <c r="A302" t="s">
        <v>363</v>
      </c>
      <c r="B302" t="s">
        <v>7</v>
      </c>
      <c r="C302" t="s">
        <v>209</v>
      </c>
      <c r="D302" t="s">
        <v>11</v>
      </c>
      <c r="E302" t="s">
        <v>69</v>
      </c>
      <c r="F302" t="s">
        <v>5</v>
      </c>
      <c r="G302">
        <v>2019</v>
      </c>
      <c r="H302">
        <v>10476.9</v>
      </c>
      <c r="I302">
        <v>3977.8</v>
      </c>
      <c r="J302">
        <v>6499.1</v>
      </c>
      <c r="K302">
        <v>2597.3000000000002</v>
      </c>
      <c r="L302">
        <v>24.790730079999999</v>
      </c>
      <c r="M302">
        <v>7879.6</v>
      </c>
      <c r="N302">
        <v>75.209269919999997</v>
      </c>
    </row>
    <row r="303" spans="1:14" x14ac:dyDescent="0.45">
      <c r="A303" t="s">
        <v>364</v>
      </c>
      <c r="B303" t="s">
        <v>1</v>
      </c>
      <c r="C303" t="s">
        <v>20</v>
      </c>
      <c r="D303" t="s">
        <v>3</v>
      </c>
      <c r="E303" t="s">
        <v>4</v>
      </c>
      <c r="F303" t="s">
        <v>5</v>
      </c>
      <c r="G303">
        <v>2006</v>
      </c>
      <c r="H303">
        <v>10449</v>
      </c>
      <c r="I303">
        <v>7062.7</v>
      </c>
      <c r="J303">
        <v>3394.7</v>
      </c>
      <c r="K303">
        <v>6337.8</v>
      </c>
      <c r="L303">
        <v>60.654608099999997</v>
      </c>
      <c r="M303">
        <v>4111.2</v>
      </c>
      <c r="N303">
        <v>39.345391900000003</v>
      </c>
    </row>
    <row r="304" spans="1:14" x14ac:dyDescent="0.45">
      <c r="A304" t="s">
        <v>365</v>
      </c>
      <c r="B304" t="s">
        <v>1</v>
      </c>
      <c r="C304" t="s">
        <v>8</v>
      </c>
      <c r="D304" t="s">
        <v>3</v>
      </c>
      <c r="E304" t="s">
        <v>14</v>
      </c>
      <c r="F304" t="s">
        <v>5</v>
      </c>
      <c r="G304">
        <v>2015</v>
      </c>
      <c r="H304">
        <v>10368.700000000001</v>
      </c>
      <c r="I304">
        <v>9179.2000000000007</v>
      </c>
      <c r="J304">
        <v>1201.2</v>
      </c>
      <c r="K304">
        <v>8970.6</v>
      </c>
      <c r="L304">
        <v>86.516149569999996</v>
      </c>
      <c r="M304">
        <v>1398.1</v>
      </c>
      <c r="N304">
        <v>13.48385043</v>
      </c>
    </row>
    <row r="305" spans="1:14" x14ac:dyDescent="0.45">
      <c r="A305" t="s">
        <v>366</v>
      </c>
      <c r="B305" t="s">
        <v>1</v>
      </c>
      <c r="C305" t="s">
        <v>8</v>
      </c>
      <c r="D305" t="s">
        <v>11</v>
      </c>
      <c r="E305" t="s">
        <v>12</v>
      </c>
      <c r="F305" t="s">
        <v>5</v>
      </c>
      <c r="G305">
        <v>2004</v>
      </c>
      <c r="H305">
        <v>10352.799999999999</v>
      </c>
      <c r="I305">
        <v>1937.7</v>
      </c>
      <c r="J305">
        <v>8415.1</v>
      </c>
      <c r="K305">
        <v>410.2</v>
      </c>
      <c r="L305">
        <v>3.962213121</v>
      </c>
      <c r="M305">
        <v>9942.6</v>
      </c>
      <c r="N305">
        <v>96.037786879999999</v>
      </c>
    </row>
    <row r="306" spans="1:14" x14ac:dyDescent="0.45">
      <c r="A306" t="s">
        <v>367</v>
      </c>
      <c r="B306" t="s">
        <v>1</v>
      </c>
      <c r="C306" t="s">
        <v>368</v>
      </c>
      <c r="D306" t="s">
        <v>3</v>
      </c>
      <c r="E306" t="s">
        <v>9</v>
      </c>
      <c r="F306" t="s">
        <v>5</v>
      </c>
      <c r="G306">
        <v>2006</v>
      </c>
      <c r="H306">
        <v>10332.799999999999</v>
      </c>
      <c r="I306">
        <v>7323</v>
      </c>
      <c r="J306">
        <v>3009.8</v>
      </c>
      <c r="K306">
        <v>6153.5</v>
      </c>
      <c r="L306">
        <v>59.55307371</v>
      </c>
      <c r="M306">
        <v>4179.3</v>
      </c>
      <c r="N306">
        <v>40.44692629</v>
      </c>
    </row>
    <row r="307" spans="1:14" x14ac:dyDescent="0.45">
      <c r="A307" t="s">
        <v>369</v>
      </c>
      <c r="B307" t="s">
        <v>1</v>
      </c>
      <c r="C307" t="s">
        <v>8</v>
      </c>
      <c r="D307" t="s">
        <v>3</v>
      </c>
      <c r="E307" t="s">
        <v>9</v>
      </c>
      <c r="F307" t="s">
        <v>5</v>
      </c>
      <c r="G307">
        <v>2017</v>
      </c>
      <c r="H307">
        <v>10313.5</v>
      </c>
      <c r="I307">
        <v>10145.1</v>
      </c>
      <c r="J307">
        <v>172</v>
      </c>
      <c r="K307">
        <v>10141.5</v>
      </c>
      <c r="L307">
        <v>98.332282930000005</v>
      </c>
      <c r="M307">
        <v>172</v>
      </c>
      <c r="N307">
        <v>1.6677170699999999</v>
      </c>
    </row>
    <row r="308" spans="1:14" x14ac:dyDescent="0.45">
      <c r="A308" t="s">
        <v>370</v>
      </c>
      <c r="B308" t="s">
        <v>1</v>
      </c>
      <c r="C308" t="s">
        <v>8</v>
      </c>
      <c r="D308" t="s">
        <v>3</v>
      </c>
      <c r="E308" t="s">
        <v>4</v>
      </c>
      <c r="F308" t="s">
        <v>5</v>
      </c>
      <c r="G308">
        <v>1999</v>
      </c>
      <c r="H308">
        <v>10293</v>
      </c>
      <c r="I308">
        <v>6016.2</v>
      </c>
      <c r="J308">
        <v>4284.3</v>
      </c>
      <c r="K308">
        <v>745.9</v>
      </c>
      <c r="L308">
        <v>7.2466724960000004</v>
      </c>
      <c r="M308">
        <v>9547.1</v>
      </c>
      <c r="N308">
        <v>92.753327499999997</v>
      </c>
    </row>
    <row r="309" spans="1:14" x14ac:dyDescent="0.45">
      <c r="A309" t="s">
        <v>371</v>
      </c>
      <c r="B309" t="s">
        <v>1</v>
      </c>
      <c r="C309" t="s">
        <v>335</v>
      </c>
      <c r="D309" t="s">
        <v>3</v>
      </c>
      <c r="E309" t="s">
        <v>336</v>
      </c>
      <c r="F309" t="s">
        <v>5</v>
      </c>
      <c r="G309">
        <v>2012</v>
      </c>
      <c r="H309">
        <v>10290.6</v>
      </c>
      <c r="I309">
        <v>2289.1999999999998</v>
      </c>
      <c r="J309">
        <v>8003.8</v>
      </c>
      <c r="K309">
        <v>4395.8</v>
      </c>
      <c r="L309">
        <v>42.716654030000001</v>
      </c>
      <c r="M309">
        <v>5894.8</v>
      </c>
      <c r="N309">
        <v>57.283345969999999</v>
      </c>
    </row>
    <row r="310" spans="1:14" x14ac:dyDescent="0.45">
      <c r="A310" t="s">
        <v>372</v>
      </c>
      <c r="B310" t="s">
        <v>1</v>
      </c>
      <c r="C310" t="s">
        <v>373</v>
      </c>
      <c r="D310" t="s">
        <v>11</v>
      </c>
      <c r="E310" t="s">
        <v>69</v>
      </c>
      <c r="F310" t="s">
        <v>5</v>
      </c>
      <c r="G310">
        <v>2009</v>
      </c>
      <c r="H310">
        <v>10234.299999999999</v>
      </c>
      <c r="I310">
        <v>8102.5</v>
      </c>
      <c r="J310">
        <v>2138.3000000000002</v>
      </c>
      <c r="K310">
        <v>6955</v>
      </c>
      <c r="L310">
        <v>67.957749919999998</v>
      </c>
      <c r="M310">
        <v>3279.3</v>
      </c>
      <c r="N310">
        <v>32.042250080000002</v>
      </c>
    </row>
    <row r="311" spans="1:14" x14ac:dyDescent="0.45">
      <c r="A311" t="s">
        <v>374</v>
      </c>
      <c r="B311" t="s">
        <v>1</v>
      </c>
      <c r="C311" t="s">
        <v>8</v>
      </c>
      <c r="D311" t="s">
        <v>3</v>
      </c>
      <c r="E311" t="s">
        <v>4</v>
      </c>
      <c r="F311" t="s">
        <v>5</v>
      </c>
      <c r="G311">
        <v>2003</v>
      </c>
      <c r="H311">
        <v>10231.200000000001</v>
      </c>
      <c r="I311">
        <v>7551.1</v>
      </c>
      <c r="J311">
        <v>2685</v>
      </c>
      <c r="K311">
        <v>2118.4</v>
      </c>
      <c r="L311">
        <v>20.705293609999998</v>
      </c>
      <c r="M311">
        <v>8112.8</v>
      </c>
      <c r="N311">
        <v>79.294706390000002</v>
      </c>
    </row>
    <row r="312" spans="1:14" x14ac:dyDescent="0.45">
      <c r="A312" t="s">
        <v>375</v>
      </c>
      <c r="B312" t="s">
        <v>1</v>
      </c>
      <c r="C312" t="s">
        <v>8</v>
      </c>
      <c r="D312" t="s">
        <v>3</v>
      </c>
      <c r="E312" t="s">
        <v>38</v>
      </c>
      <c r="F312" t="s">
        <v>35</v>
      </c>
      <c r="G312">
        <v>2002</v>
      </c>
      <c r="H312">
        <v>10180.200000000001</v>
      </c>
      <c r="I312">
        <v>10185.799999999999</v>
      </c>
      <c r="J312">
        <v>0</v>
      </c>
      <c r="K312">
        <v>10132.799999999999</v>
      </c>
      <c r="L312">
        <v>99.534390290000005</v>
      </c>
      <c r="M312">
        <v>47.4</v>
      </c>
      <c r="N312">
        <v>0.46560971299999998</v>
      </c>
    </row>
    <row r="313" spans="1:14" x14ac:dyDescent="0.45">
      <c r="A313" t="s">
        <v>376</v>
      </c>
      <c r="B313" t="s">
        <v>7</v>
      </c>
      <c r="C313" t="s">
        <v>2</v>
      </c>
      <c r="D313" t="s">
        <v>3</v>
      </c>
      <c r="E313" t="s">
        <v>9</v>
      </c>
      <c r="F313" t="s">
        <v>5</v>
      </c>
      <c r="G313">
        <v>2015</v>
      </c>
      <c r="H313">
        <v>10179.299999999999</v>
      </c>
      <c r="I313">
        <v>6431.1</v>
      </c>
      <c r="J313">
        <v>3750.4</v>
      </c>
      <c r="K313">
        <v>5420.2</v>
      </c>
      <c r="L313">
        <v>53.247276339999999</v>
      </c>
      <c r="M313">
        <v>4759.1000000000004</v>
      </c>
      <c r="N313">
        <v>46.752723660000001</v>
      </c>
    </row>
    <row r="314" spans="1:14" x14ac:dyDescent="0.45">
      <c r="A314" t="s">
        <v>377</v>
      </c>
      <c r="B314" t="s">
        <v>1</v>
      </c>
      <c r="C314" t="s">
        <v>58</v>
      </c>
      <c r="D314" t="s">
        <v>59</v>
      </c>
      <c r="E314" t="s">
        <v>60</v>
      </c>
      <c r="F314" t="s">
        <v>35</v>
      </c>
      <c r="G314">
        <v>1999</v>
      </c>
      <c r="H314">
        <v>10165</v>
      </c>
      <c r="I314">
        <v>8858.9</v>
      </c>
      <c r="J314">
        <v>1312.6</v>
      </c>
      <c r="K314">
        <v>6.7</v>
      </c>
      <c r="L314">
        <v>6.591244466E-2</v>
      </c>
      <c r="M314">
        <v>10158.299999999999</v>
      </c>
      <c r="N314">
        <v>99.934087559999995</v>
      </c>
    </row>
    <row r="315" spans="1:14" x14ac:dyDescent="0.45">
      <c r="A315" t="s">
        <v>378</v>
      </c>
      <c r="B315" t="s">
        <v>1</v>
      </c>
      <c r="C315" t="s">
        <v>209</v>
      </c>
      <c r="D315" t="s">
        <v>11</v>
      </c>
      <c r="E315" t="s">
        <v>4</v>
      </c>
      <c r="F315" t="s">
        <v>5</v>
      </c>
      <c r="G315">
        <v>2017</v>
      </c>
      <c r="H315">
        <v>10160.5</v>
      </c>
      <c r="I315">
        <v>8082</v>
      </c>
      <c r="J315">
        <v>2081.6999999999998</v>
      </c>
      <c r="K315">
        <v>6415.1</v>
      </c>
      <c r="L315">
        <v>63.137640859999998</v>
      </c>
      <c r="M315">
        <v>3745.4</v>
      </c>
      <c r="N315">
        <v>36.862359140000002</v>
      </c>
    </row>
    <row r="316" spans="1:14" x14ac:dyDescent="0.45">
      <c r="A316" t="s">
        <v>379</v>
      </c>
      <c r="B316" t="s">
        <v>1</v>
      </c>
      <c r="C316" t="s">
        <v>76</v>
      </c>
      <c r="D316" t="s">
        <v>11</v>
      </c>
      <c r="E316" t="s">
        <v>77</v>
      </c>
      <c r="F316" t="s">
        <v>35</v>
      </c>
      <c r="G316">
        <v>1997</v>
      </c>
      <c r="H316">
        <v>10147.9</v>
      </c>
      <c r="I316">
        <v>10065.9</v>
      </c>
      <c r="J316">
        <v>89.1</v>
      </c>
      <c r="K316">
        <v>9956.7999999999993</v>
      </c>
      <c r="L316">
        <v>98.116851760000003</v>
      </c>
      <c r="M316">
        <v>191.1</v>
      </c>
      <c r="N316">
        <v>1.883148238</v>
      </c>
    </row>
    <row r="317" spans="1:14" x14ac:dyDescent="0.45">
      <c r="A317" t="s">
        <v>380</v>
      </c>
      <c r="B317" t="s">
        <v>1</v>
      </c>
      <c r="C317" t="s">
        <v>8</v>
      </c>
      <c r="D317" t="s">
        <v>3</v>
      </c>
      <c r="E317" t="s">
        <v>4</v>
      </c>
      <c r="F317" t="s">
        <v>5</v>
      </c>
      <c r="G317">
        <v>2015</v>
      </c>
      <c r="H317">
        <v>10141.700000000001</v>
      </c>
      <c r="I317">
        <v>9084.2000000000007</v>
      </c>
      <c r="J317">
        <v>1067.9000000000001</v>
      </c>
      <c r="K317">
        <v>7696.5</v>
      </c>
      <c r="L317">
        <v>75.889643750000005</v>
      </c>
      <c r="M317">
        <v>2445.1999999999998</v>
      </c>
      <c r="N317">
        <v>24.110356249999999</v>
      </c>
    </row>
    <row r="318" spans="1:14" x14ac:dyDescent="0.45">
      <c r="A318" t="s">
        <v>381</v>
      </c>
      <c r="B318" t="s">
        <v>1</v>
      </c>
      <c r="C318" t="s">
        <v>153</v>
      </c>
      <c r="D318" t="s">
        <v>154</v>
      </c>
      <c r="E318" t="s">
        <v>155</v>
      </c>
      <c r="F318" t="s">
        <v>35</v>
      </c>
      <c r="G318">
        <v>2010</v>
      </c>
      <c r="H318">
        <v>10122.5</v>
      </c>
      <c r="I318">
        <v>8138.6</v>
      </c>
      <c r="J318">
        <v>1988.4</v>
      </c>
      <c r="K318">
        <v>5614.2</v>
      </c>
      <c r="L318">
        <v>55.462583350000003</v>
      </c>
      <c r="M318">
        <v>4508.3</v>
      </c>
      <c r="N318">
        <v>44.537416649999997</v>
      </c>
    </row>
    <row r="319" spans="1:14" x14ac:dyDescent="0.45">
      <c r="A319" t="s">
        <v>382</v>
      </c>
      <c r="B319" t="s">
        <v>1</v>
      </c>
      <c r="C319" t="s">
        <v>153</v>
      </c>
      <c r="D319" t="s">
        <v>154</v>
      </c>
      <c r="E319" t="s">
        <v>47</v>
      </c>
      <c r="F319" t="s">
        <v>5</v>
      </c>
      <c r="G319">
        <v>2004</v>
      </c>
      <c r="H319">
        <v>10115.700000000001</v>
      </c>
      <c r="I319">
        <v>9351.5</v>
      </c>
      <c r="J319">
        <v>766.2</v>
      </c>
      <c r="K319">
        <v>269.8</v>
      </c>
      <c r="L319">
        <v>2.667141177</v>
      </c>
      <c r="M319">
        <v>9845.9</v>
      </c>
      <c r="N319">
        <v>97.332858819999998</v>
      </c>
    </row>
    <row r="320" spans="1:14" x14ac:dyDescent="0.45">
      <c r="A320" t="s">
        <v>383</v>
      </c>
      <c r="B320" t="s">
        <v>1</v>
      </c>
      <c r="C320" t="s">
        <v>20</v>
      </c>
      <c r="D320" t="s">
        <v>3</v>
      </c>
      <c r="E320" t="s">
        <v>38</v>
      </c>
      <c r="F320" t="s">
        <v>35</v>
      </c>
      <c r="G320">
        <v>2006</v>
      </c>
      <c r="H320">
        <v>10108</v>
      </c>
      <c r="I320">
        <v>8333.7000000000007</v>
      </c>
      <c r="J320">
        <v>1782</v>
      </c>
      <c r="K320">
        <v>8006.1</v>
      </c>
      <c r="L320">
        <v>79.205579740000005</v>
      </c>
      <c r="M320">
        <v>2101.9</v>
      </c>
      <c r="N320">
        <v>20.794420259999999</v>
      </c>
    </row>
    <row r="321" spans="1:14" x14ac:dyDescent="0.45">
      <c r="A321" t="s">
        <v>384</v>
      </c>
      <c r="B321" t="s">
        <v>1</v>
      </c>
      <c r="C321" t="s">
        <v>20</v>
      </c>
      <c r="D321" t="s">
        <v>3</v>
      </c>
      <c r="E321" t="s">
        <v>4</v>
      </c>
      <c r="F321" t="s">
        <v>5</v>
      </c>
      <c r="G321">
        <v>2014</v>
      </c>
      <c r="H321">
        <v>10095.5</v>
      </c>
      <c r="I321">
        <v>6587</v>
      </c>
      <c r="J321">
        <v>3508.5</v>
      </c>
      <c r="K321">
        <v>5050.8999999999996</v>
      </c>
      <c r="L321">
        <v>50.031202020000002</v>
      </c>
      <c r="M321">
        <v>5044.6000000000004</v>
      </c>
      <c r="N321">
        <v>49.968797979999998</v>
      </c>
    </row>
    <row r="322" spans="1:14" x14ac:dyDescent="0.45">
      <c r="A322" t="s">
        <v>385</v>
      </c>
      <c r="B322" t="s">
        <v>65</v>
      </c>
      <c r="C322" t="s">
        <v>8</v>
      </c>
      <c r="D322" t="s">
        <v>3</v>
      </c>
      <c r="E322" t="s">
        <v>126</v>
      </c>
      <c r="F322" t="s">
        <v>35</v>
      </c>
      <c r="G322">
        <v>2009</v>
      </c>
      <c r="H322">
        <v>10048.299999999999</v>
      </c>
      <c r="I322">
        <v>3456.4</v>
      </c>
      <c r="J322">
        <v>6591.9</v>
      </c>
      <c r="K322">
        <v>257</v>
      </c>
      <c r="L322">
        <v>2.5576465669999999</v>
      </c>
      <c r="M322">
        <v>9791.2999999999993</v>
      </c>
      <c r="N322">
        <v>97.442353429999997</v>
      </c>
    </row>
    <row r="323" spans="1:14" x14ac:dyDescent="0.45">
      <c r="A323" t="s">
        <v>386</v>
      </c>
      <c r="B323" t="s">
        <v>1</v>
      </c>
      <c r="C323" t="s">
        <v>2</v>
      </c>
      <c r="D323" t="s">
        <v>3</v>
      </c>
      <c r="E323" t="s">
        <v>38</v>
      </c>
      <c r="F323" t="s">
        <v>5</v>
      </c>
      <c r="G323">
        <v>2012</v>
      </c>
      <c r="H323">
        <v>9970.2000000000007</v>
      </c>
      <c r="I323">
        <v>9813.7000000000007</v>
      </c>
      <c r="J323">
        <v>161.5</v>
      </c>
      <c r="K323">
        <v>9795.7999999999993</v>
      </c>
      <c r="L323">
        <v>98.250787349999996</v>
      </c>
      <c r="M323">
        <v>174.4</v>
      </c>
      <c r="N323">
        <v>1.7492126539999999</v>
      </c>
    </row>
    <row r="324" spans="1:14" x14ac:dyDescent="0.45">
      <c r="A324" t="s">
        <v>387</v>
      </c>
      <c r="B324" t="s">
        <v>1</v>
      </c>
      <c r="C324" t="s">
        <v>8</v>
      </c>
      <c r="D324" t="s">
        <v>3</v>
      </c>
      <c r="E324" t="s">
        <v>9</v>
      </c>
      <c r="F324" t="s">
        <v>5</v>
      </c>
      <c r="G324">
        <v>2021</v>
      </c>
      <c r="H324">
        <v>9949.6</v>
      </c>
      <c r="I324">
        <v>9956.4</v>
      </c>
      <c r="J324">
        <v>0</v>
      </c>
      <c r="K324">
        <v>9911.9</v>
      </c>
      <c r="L324">
        <v>99.621090300000006</v>
      </c>
      <c r="M324">
        <v>37.700000000000003</v>
      </c>
      <c r="N324">
        <v>0.37890970489999998</v>
      </c>
    </row>
    <row r="325" spans="1:14" x14ac:dyDescent="0.45">
      <c r="A325" t="s">
        <v>388</v>
      </c>
      <c r="B325" t="s">
        <v>1</v>
      </c>
      <c r="C325" t="s">
        <v>8</v>
      </c>
      <c r="D325" t="s">
        <v>11</v>
      </c>
      <c r="E325" t="s">
        <v>12</v>
      </c>
      <c r="F325" t="s">
        <v>5</v>
      </c>
      <c r="G325">
        <v>2014</v>
      </c>
      <c r="H325">
        <v>9948.7000000000007</v>
      </c>
      <c r="I325">
        <v>4105.3</v>
      </c>
      <c r="J325">
        <v>5843.4</v>
      </c>
      <c r="K325">
        <v>471.7</v>
      </c>
      <c r="L325">
        <v>4.7413229870000002</v>
      </c>
      <c r="M325">
        <v>9477</v>
      </c>
      <c r="N325">
        <v>95.25867701</v>
      </c>
    </row>
    <row r="326" spans="1:14" x14ac:dyDescent="0.45">
      <c r="A326" t="s">
        <v>389</v>
      </c>
      <c r="B326" t="s">
        <v>1</v>
      </c>
      <c r="C326" t="s">
        <v>2</v>
      </c>
      <c r="D326" t="s">
        <v>3</v>
      </c>
      <c r="E326" t="s">
        <v>38</v>
      </c>
      <c r="F326" t="s">
        <v>35</v>
      </c>
      <c r="G326">
        <v>1996</v>
      </c>
      <c r="H326">
        <v>9933.4</v>
      </c>
      <c r="I326">
        <v>9932.9</v>
      </c>
      <c r="J326">
        <v>6.1</v>
      </c>
      <c r="K326">
        <v>9864.7000000000007</v>
      </c>
      <c r="L326">
        <v>99.308393899999999</v>
      </c>
      <c r="M326">
        <v>68.7</v>
      </c>
      <c r="N326">
        <v>0.69160609660000005</v>
      </c>
    </row>
    <row r="327" spans="1:14" x14ac:dyDescent="0.45">
      <c r="A327" t="s">
        <v>390</v>
      </c>
      <c r="B327" t="s">
        <v>1</v>
      </c>
      <c r="C327" t="s">
        <v>8</v>
      </c>
      <c r="D327" t="s">
        <v>11</v>
      </c>
      <c r="E327" t="s">
        <v>69</v>
      </c>
      <c r="F327" t="s">
        <v>5</v>
      </c>
      <c r="G327">
        <v>1988</v>
      </c>
      <c r="H327">
        <v>9914.5</v>
      </c>
      <c r="I327">
        <v>6239</v>
      </c>
      <c r="J327">
        <v>3689.5</v>
      </c>
      <c r="K327">
        <v>5931.4</v>
      </c>
      <c r="L327">
        <v>59.82550809</v>
      </c>
      <c r="M327">
        <v>3983.1</v>
      </c>
      <c r="N327">
        <v>40.17449191</v>
      </c>
    </row>
    <row r="328" spans="1:14" x14ac:dyDescent="0.45">
      <c r="A328" t="s">
        <v>391</v>
      </c>
      <c r="B328" t="s">
        <v>65</v>
      </c>
      <c r="C328" t="s">
        <v>76</v>
      </c>
      <c r="D328" t="s">
        <v>11</v>
      </c>
      <c r="E328" t="s">
        <v>38</v>
      </c>
      <c r="F328" t="s">
        <v>35</v>
      </c>
      <c r="G328">
        <v>1987</v>
      </c>
      <c r="H328">
        <v>9914.4</v>
      </c>
      <c r="I328">
        <v>9921.1</v>
      </c>
      <c r="J328">
        <v>6.1</v>
      </c>
      <c r="K328">
        <v>7817.7</v>
      </c>
      <c r="L328">
        <v>78.851972889999999</v>
      </c>
      <c r="M328">
        <v>2096.6999999999998</v>
      </c>
      <c r="N328">
        <v>21.148027110000001</v>
      </c>
    </row>
    <row r="329" spans="1:14" x14ac:dyDescent="0.45">
      <c r="A329" t="s">
        <v>392</v>
      </c>
      <c r="B329" t="s">
        <v>1</v>
      </c>
      <c r="C329" t="s">
        <v>20</v>
      </c>
      <c r="D329" t="s">
        <v>3</v>
      </c>
      <c r="E329" t="s">
        <v>38</v>
      </c>
      <c r="F329" t="s">
        <v>35</v>
      </c>
      <c r="G329">
        <v>1969</v>
      </c>
      <c r="H329">
        <v>9909.5</v>
      </c>
      <c r="I329">
        <v>9912.7999999999993</v>
      </c>
      <c r="J329">
        <v>0</v>
      </c>
      <c r="K329">
        <v>9909.5</v>
      </c>
      <c r="L329">
        <v>100</v>
      </c>
      <c r="M329">
        <v>0</v>
      </c>
      <c r="N329">
        <v>0</v>
      </c>
    </row>
    <row r="330" spans="1:14" x14ac:dyDescent="0.45">
      <c r="A330" t="s">
        <v>393</v>
      </c>
      <c r="B330" t="s">
        <v>65</v>
      </c>
      <c r="C330" t="s">
        <v>394</v>
      </c>
      <c r="D330" t="s">
        <v>395</v>
      </c>
      <c r="E330" t="s">
        <v>38</v>
      </c>
      <c r="F330" t="s">
        <v>35</v>
      </c>
      <c r="G330">
        <v>2017</v>
      </c>
      <c r="H330">
        <v>9899.4</v>
      </c>
      <c r="I330">
        <v>9883</v>
      </c>
      <c r="J330">
        <v>20.100000000000001</v>
      </c>
      <c r="K330">
        <v>9351.9</v>
      </c>
      <c r="L330">
        <v>94.46936178</v>
      </c>
      <c r="M330">
        <v>547.5</v>
      </c>
      <c r="N330">
        <v>5.5306382200000002</v>
      </c>
    </row>
    <row r="331" spans="1:14" x14ac:dyDescent="0.45">
      <c r="A331" t="s">
        <v>396</v>
      </c>
      <c r="B331" t="s">
        <v>1</v>
      </c>
      <c r="C331" t="s">
        <v>8</v>
      </c>
      <c r="D331" t="s">
        <v>3</v>
      </c>
      <c r="E331" t="s">
        <v>85</v>
      </c>
      <c r="F331" t="s">
        <v>35</v>
      </c>
      <c r="G331">
        <v>2010</v>
      </c>
      <c r="H331">
        <v>9869.2999999999993</v>
      </c>
      <c r="I331">
        <v>6437</v>
      </c>
      <c r="J331">
        <v>3432.3</v>
      </c>
      <c r="K331">
        <v>4558.7</v>
      </c>
      <c r="L331">
        <v>46.190712609999999</v>
      </c>
      <c r="M331">
        <v>5310.6</v>
      </c>
      <c r="N331">
        <v>53.809287390000001</v>
      </c>
    </row>
    <row r="332" spans="1:14" x14ac:dyDescent="0.45">
      <c r="A332" t="s">
        <v>397</v>
      </c>
      <c r="B332" t="s">
        <v>1</v>
      </c>
      <c r="C332" t="s">
        <v>8</v>
      </c>
      <c r="D332" t="s">
        <v>11</v>
      </c>
      <c r="E332" t="s">
        <v>69</v>
      </c>
      <c r="F332" t="s">
        <v>5</v>
      </c>
      <c r="G332">
        <v>1998</v>
      </c>
      <c r="H332">
        <v>9862.6</v>
      </c>
      <c r="I332">
        <v>4889.8</v>
      </c>
      <c r="J332">
        <v>4976.3999999999996</v>
      </c>
      <c r="K332">
        <v>1538.9</v>
      </c>
      <c r="L332">
        <v>15.60339059</v>
      </c>
      <c r="M332">
        <v>8323.7000000000007</v>
      </c>
      <c r="N332">
        <v>84.396609409999996</v>
      </c>
    </row>
    <row r="333" spans="1:14" x14ac:dyDescent="0.45">
      <c r="A333" t="s">
        <v>398</v>
      </c>
      <c r="B333" t="s">
        <v>7</v>
      </c>
      <c r="C333" t="s">
        <v>20</v>
      </c>
      <c r="D333" t="s">
        <v>3</v>
      </c>
      <c r="E333" t="s">
        <v>9</v>
      </c>
      <c r="F333" t="s">
        <v>5</v>
      </c>
      <c r="G333">
        <v>2014</v>
      </c>
      <c r="H333">
        <v>9859.6</v>
      </c>
      <c r="I333">
        <v>4832.5</v>
      </c>
      <c r="J333">
        <v>5032.8999999999996</v>
      </c>
      <c r="K333">
        <v>2441.1</v>
      </c>
      <c r="L333">
        <v>24.758610900000001</v>
      </c>
      <c r="M333">
        <v>7418.5</v>
      </c>
      <c r="N333">
        <v>75.241389100000006</v>
      </c>
    </row>
    <row r="334" spans="1:14" x14ac:dyDescent="0.45">
      <c r="A334" t="s">
        <v>399</v>
      </c>
      <c r="B334" t="s">
        <v>1</v>
      </c>
      <c r="C334" t="s">
        <v>76</v>
      </c>
      <c r="D334" t="s">
        <v>11</v>
      </c>
      <c r="E334" t="s">
        <v>69</v>
      </c>
      <c r="F334" t="s">
        <v>5</v>
      </c>
      <c r="G334">
        <v>2023</v>
      </c>
      <c r="H334">
        <v>9854</v>
      </c>
      <c r="I334">
        <v>8668.1</v>
      </c>
      <c r="J334">
        <v>1197.3</v>
      </c>
      <c r="K334">
        <v>2611.1</v>
      </c>
      <c r="L334">
        <v>26.497868889999999</v>
      </c>
      <c r="M334">
        <v>7242.9</v>
      </c>
      <c r="N334">
        <v>73.502131109999993</v>
      </c>
    </row>
    <row r="335" spans="1:14" x14ac:dyDescent="0.45">
      <c r="A335" t="s">
        <v>400</v>
      </c>
      <c r="B335" t="s">
        <v>7</v>
      </c>
      <c r="C335" t="s">
        <v>8</v>
      </c>
      <c r="D335" t="s">
        <v>3</v>
      </c>
      <c r="E335" t="s">
        <v>9</v>
      </c>
      <c r="F335" t="s">
        <v>5</v>
      </c>
      <c r="G335">
        <v>2019</v>
      </c>
      <c r="H335">
        <v>9797.7999999999993</v>
      </c>
      <c r="I335">
        <v>9279.7000000000007</v>
      </c>
      <c r="J335">
        <v>543.29999999999995</v>
      </c>
      <c r="K335">
        <v>8953.2000000000007</v>
      </c>
      <c r="L335">
        <v>91.379697480000004</v>
      </c>
      <c r="M335">
        <v>844.6</v>
      </c>
      <c r="N335">
        <v>8.6203025170000007</v>
      </c>
    </row>
    <row r="336" spans="1:14" x14ac:dyDescent="0.45">
      <c r="A336" t="s">
        <v>401</v>
      </c>
      <c r="B336" t="s">
        <v>1</v>
      </c>
      <c r="C336" t="s">
        <v>8</v>
      </c>
      <c r="D336" t="s">
        <v>3</v>
      </c>
      <c r="E336" t="s">
        <v>4</v>
      </c>
      <c r="F336" t="s">
        <v>5</v>
      </c>
      <c r="G336">
        <v>1997</v>
      </c>
      <c r="H336">
        <v>9734</v>
      </c>
      <c r="I336">
        <v>4314.3</v>
      </c>
      <c r="J336">
        <v>5425.4</v>
      </c>
      <c r="K336">
        <v>31</v>
      </c>
      <c r="L336">
        <v>0.31847133760000002</v>
      </c>
      <c r="M336">
        <v>9703</v>
      </c>
      <c r="N336">
        <v>99.681528659999998</v>
      </c>
    </row>
    <row r="337" spans="1:14" x14ac:dyDescent="0.45">
      <c r="A337" t="s">
        <v>402</v>
      </c>
      <c r="B337" t="s">
        <v>1</v>
      </c>
      <c r="C337" t="s">
        <v>8</v>
      </c>
      <c r="D337" t="s">
        <v>3</v>
      </c>
      <c r="E337" t="s">
        <v>14</v>
      </c>
      <c r="F337" t="s">
        <v>5</v>
      </c>
      <c r="G337">
        <v>2009</v>
      </c>
      <c r="H337">
        <v>9713</v>
      </c>
      <c r="I337">
        <v>5586.8</v>
      </c>
      <c r="J337">
        <v>4126.1000000000004</v>
      </c>
      <c r="K337">
        <v>2334.8000000000002</v>
      </c>
      <c r="L337">
        <v>24.03788737</v>
      </c>
      <c r="M337">
        <v>7378.2</v>
      </c>
      <c r="N337">
        <v>75.962112629999993</v>
      </c>
    </row>
    <row r="338" spans="1:14" x14ac:dyDescent="0.45">
      <c r="A338" t="s">
        <v>403</v>
      </c>
      <c r="B338" t="s">
        <v>1</v>
      </c>
      <c r="C338" t="s">
        <v>8</v>
      </c>
      <c r="D338" t="s">
        <v>3</v>
      </c>
      <c r="E338" t="s">
        <v>259</v>
      </c>
      <c r="F338" t="s">
        <v>35</v>
      </c>
      <c r="G338">
        <v>2012</v>
      </c>
      <c r="H338">
        <v>9666.1</v>
      </c>
      <c r="I338">
        <v>9207.9</v>
      </c>
      <c r="J338">
        <v>460.8</v>
      </c>
      <c r="K338">
        <v>9168.2999999999993</v>
      </c>
      <c r="L338">
        <v>94.850042930000001</v>
      </c>
      <c r="M338">
        <v>497.8</v>
      </c>
      <c r="N338">
        <v>5.1499570659999998</v>
      </c>
    </row>
    <row r="339" spans="1:14" x14ac:dyDescent="0.45">
      <c r="A339" t="s">
        <v>404</v>
      </c>
      <c r="B339" t="s">
        <v>1</v>
      </c>
      <c r="C339" t="s">
        <v>76</v>
      </c>
      <c r="D339" t="s">
        <v>11</v>
      </c>
      <c r="E339" t="s">
        <v>69</v>
      </c>
      <c r="F339" t="s">
        <v>5</v>
      </c>
      <c r="G339">
        <v>2020</v>
      </c>
      <c r="H339">
        <v>9609</v>
      </c>
      <c r="I339">
        <v>5573.7</v>
      </c>
      <c r="J339">
        <v>4061</v>
      </c>
      <c r="K339">
        <v>436.8</v>
      </c>
      <c r="L339">
        <v>4.5457383699999996</v>
      </c>
      <c r="M339">
        <v>9172.2000000000007</v>
      </c>
      <c r="N339">
        <v>95.454261630000005</v>
      </c>
    </row>
    <row r="340" spans="1:14" x14ac:dyDescent="0.45">
      <c r="A340" t="s">
        <v>405</v>
      </c>
      <c r="B340" t="s">
        <v>1</v>
      </c>
      <c r="C340" t="s">
        <v>8</v>
      </c>
      <c r="D340" t="s">
        <v>3</v>
      </c>
      <c r="E340" t="s">
        <v>14</v>
      </c>
      <c r="F340" t="s">
        <v>5</v>
      </c>
      <c r="G340">
        <v>2014</v>
      </c>
      <c r="H340">
        <v>9513.7000000000007</v>
      </c>
      <c r="I340">
        <v>9454.2999999999993</v>
      </c>
      <c r="J340">
        <v>63.4</v>
      </c>
      <c r="K340">
        <v>1289.2</v>
      </c>
      <c r="L340">
        <v>13.55098437</v>
      </c>
      <c r="M340">
        <v>8224.5</v>
      </c>
      <c r="N340">
        <v>86.449015630000005</v>
      </c>
    </row>
    <row r="341" spans="1:14" x14ac:dyDescent="0.45">
      <c r="A341" t="s">
        <v>406</v>
      </c>
      <c r="B341" t="s">
        <v>1</v>
      </c>
      <c r="C341" t="s">
        <v>81</v>
      </c>
      <c r="D341" t="s">
        <v>3</v>
      </c>
      <c r="E341" t="s">
        <v>14</v>
      </c>
      <c r="F341" t="s">
        <v>35</v>
      </c>
      <c r="G341">
        <v>2014</v>
      </c>
      <c r="H341">
        <v>9513</v>
      </c>
      <c r="I341">
        <v>9329.2999999999993</v>
      </c>
      <c r="J341">
        <v>185.8</v>
      </c>
      <c r="K341">
        <v>8793</v>
      </c>
      <c r="L341">
        <v>92.431409650000006</v>
      </c>
      <c r="M341">
        <v>720</v>
      </c>
      <c r="N341">
        <v>7.56859035</v>
      </c>
    </row>
    <row r="342" spans="1:14" x14ac:dyDescent="0.45">
      <c r="A342" t="s">
        <v>407</v>
      </c>
      <c r="B342" t="s">
        <v>1</v>
      </c>
      <c r="C342" t="s">
        <v>76</v>
      </c>
      <c r="D342" t="s">
        <v>11</v>
      </c>
      <c r="E342" t="s">
        <v>77</v>
      </c>
      <c r="F342" t="s">
        <v>35</v>
      </c>
      <c r="G342">
        <v>2007</v>
      </c>
      <c r="H342">
        <v>9503.2999999999993</v>
      </c>
      <c r="I342">
        <v>2467.8000000000002</v>
      </c>
      <c r="J342">
        <v>7045.9</v>
      </c>
      <c r="K342">
        <v>9278.4</v>
      </c>
      <c r="L342">
        <v>97.633453639999999</v>
      </c>
      <c r="M342">
        <v>224.9</v>
      </c>
      <c r="N342">
        <v>2.3665463579999999</v>
      </c>
    </row>
    <row r="343" spans="1:14" x14ac:dyDescent="0.45">
      <c r="A343" t="s">
        <v>408</v>
      </c>
      <c r="B343" t="s">
        <v>1</v>
      </c>
      <c r="C343" t="s">
        <v>8</v>
      </c>
      <c r="D343" t="s">
        <v>11</v>
      </c>
      <c r="E343" t="s">
        <v>138</v>
      </c>
      <c r="F343" t="s">
        <v>5</v>
      </c>
      <c r="G343">
        <v>2010</v>
      </c>
      <c r="H343">
        <v>9495.2000000000007</v>
      </c>
      <c r="I343">
        <v>6483.6</v>
      </c>
      <c r="J343">
        <v>3011.7</v>
      </c>
      <c r="K343">
        <v>4320.3999999999996</v>
      </c>
      <c r="L343">
        <v>45.500884659999997</v>
      </c>
      <c r="M343">
        <v>5174.8</v>
      </c>
      <c r="N343">
        <v>54.499115340000003</v>
      </c>
    </row>
    <row r="344" spans="1:14" x14ac:dyDescent="0.45">
      <c r="A344" t="s">
        <v>409</v>
      </c>
      <c r="B344" t="s">
        <v>1</v>
      </c>
      <c r="C344" t="s">
        <v>20</v>
      </c>
      <c r="D344" t="s">
        <v>3</v>
      </c>
      <c r="E344" t="s">
        <v>44</v>
      </c>
      <c r="F344" t="s">
        <v>35</v>
      </c>
      <c r="G344">
        <v>2010</v>
      </c>
      <c r="H344">
        <v>9439.9</v>
      </c>
      <c r="I344">
        <v>4498.2</v>
      </c>
      <c r="J344">
        <v>4948.6000000000004</v>
      </c>
      <c r="K344">
        <v>5621.4</v>
      </c>
      <c r="L344">
        <v>59.549359629999998</v>
      </c>
      <c r="M344">
        <v>3818.5</v>
      </c>
      <c r="N344">
        <v>40.450640370000002</v>
      </c>
    </row>
    <row r="345" spans="1:14" x14ac:dyDescent="0.45">
      <c r="A345" t="s">
        <v>410</v>
      </c>
      <c r="B345" t="s">
        <v>1</v>
      </c>
      <c r="C345" t="s">
        <v>394</v>
      </c>
      <c r="D345" t="s">
        <v>395</v>
      </c>
      <c r="E345" t="s">
        <v>4</v>
      </c>
      <c r="F345" t="s">
        <v>5</v>
      </c>
      <c r="G345">
        <v>2011</v>
      </c>
      <c r="H345">
        <v>9437.2999999999993</v>
      </c>
      <c r="I345">
        <v>6110.3</v>
      </c>
      <c r="J345">
        <v>3331.7</v>
      </c>
      <c r="K345">
        <v>2399.1999999999998</v>
      </c>
      <c r="L345">
        <v>25.42252551</v>
      </c>
      <c r="M345">
        <v>7038.1</v>
      </c>
      <c r="N345">
        <v>74.57747449</v>
      </c>
    </row>
    <row r="346" spans="1:14" x14ac:dyDescent="0.45">
      <c r="A346" t="s">
        <v>411</v>
      </c>
      <c r="B346" t="s">
        <v>7</v>
      </c>
      <c r="C346" t="s">
        <v>20</v>
      </c>
      <c r="D346" t="s">
        <v>3</v>
      </c>
      <c r="E346" t="s">
        <v>38</v>
      </c>
      <c r="F346" t="s">
        <v>35</v>
      </c>
      <c r="G346">
        <v>2009</v>
      </c>
      <c r="H346">
        <v>9401</v>
      </c>
      <c r="I346">
        <v>8691.5</v>
      </c>
      <c r="J346">
        <v>712.9</v>
      </c>
      <c r="K346">
        <v>8081.2</v>
      </c>
      <c r="L346">
        <v>85.961067970000002</v>
      </c>
      <c r="M346">
        <v>1319.8</v>
      </c>
      <c r="N346">
        <v>14.03893203</v>
      </c>
    </row>
    <row r="347" spans="1:14" x14ac:dyDescent="0.45">
      <c r="A347" t="s">
        <v>412</v>
      </c>
      <c r="B347" t="s">
        <v>1</v>
      </c>
      <c r="C347" t="s">
        <v>8</v>
      </c>
      <c r="D347" t="s">
        <v>3</v>
      </c>
      <c r="E347" t="s">
        <v>4</v>
      </c>
      <c r="F347" t="s">
        <v>5</v>
      </c>
      <c r="G347">
        <v>2008</v>
      </c>
      <c r="H347">
        <v>9362.2999999999993</v>
      </c>
      <c r="I347">
        <v>4260.1000000000004</v>
      </c>
      <c r="J347">
        <v>5102.2</v>
      </c>
      <c r="K347">
        <v>1075.5999999999999</v>
      </c>
      <c r="L347">
        <v>11.48862993</v>
      </c>
      <c r="M347">
        <v>8286.7000000000007</v>
      </c>
      <c r="N347">
        <v>88.511370069999998</v>
      </c>
    </row>
    <row r="348" spans="1:14" x14ac:dyDescent="0.45">
      <c r="A348" t="s">
        <v>413</v>
      </c>
      <c r="B348" t="s">
        <v>1</v>
      </c>
      <c r="C348" t="s">
        <v>229</v>
      </c>
      <c r="D348" t="s">
        <v>11</v>
      </c>
      <c r="E348" t="s">
        <v>69</v>
      </c>
      <c r="F348" t="s">
        <v>5</v>
      </c>
      <c r="G348">
        <v>1989</v>
      </c>
      <c r="H348">
        <v>9340.1</v>
      </c>
      <c r="I348">
        <v>6691.7</v>
      </c>
      <c r="J348">
        <v>2658.2</v>
      </c>
      <c r="K348">
        <v>5230.2</v>
      </c>
      <c r="L348">
        <v>55.997259130000003</v>
      </c>
      <c r="M348">
        <v>4109.8999999999996</v>
      </c>
      <c r="N348">
        <v>44.002740869999997</v>
      </c>
    </row>
    <row r="349" spans="1:14" x14ac:dyDescent="0.45">
      <c r="A349" t="s">
        <v>414</v>
      </c>
      <c r="B349" t="s">
        <v>1</v>
      </c>
      <c r="C349" t="s">
        <v>8</v>
      </c>
      <c r="D349" t="s">
        <v>3</v>
      </c>
      <c r="E349" t="s">
        <v>4</v>
      </c>
      <c r="F349" t="s">
        <v>5</v>
      </c>
      <c r="G349">
        <v>2017</v>
      </c>
      <c r="H349">
        <v>9314.7999999999993</v>
      </c>
      <c r="I349">
        <v>5409.5</v>
      </c>
      <c r="J349">
        <v>3905.3</v>
      </c>
      <c r="K349">
        <v>1907.2</v>
      </c>
      <c r="L349">
        <v>20.474943100000001</v>
      </c>
      <c r="M349">
        <v>7407.6</v>
      </c>
      <c r="N349">
        <v>79.525056899999996</v>
      </c>
    </row>
    <row r="350" spans="1:14" x14ac:dyDescent="0.45">
      <c r="A350" t="s">
        <v>415</v>
      </c>
      <c r="B350" t="s">
        <v>1</v>
      </c>
      <c r="C350" t="s">
        <v>8</v>
      </c>
      <c r="D350" t="s">
        <v>3</v>
      </c>
      <c r="E350" t="s">
        <v>14</v>
      </c>
      <c r="F350" t="s">
        <v>5</v>
      </c>
      <c r="G350">
        <v>2018</v>
      </c>
      <c r="H350">
        <v>9302.9</v>
      </c>
      <c r="I350">
        <v>5809.3</v>
      </c>
      <c r="J350">
        <v>3497.2</v>
      </c>
      <c r="K350">
        <v>5699</v>
      </c>
      <c r="L350">
        <v>61.260467169999998</v>
      </c>
      <c r="M350">
        <v>3603.9</v>
      </c>
      <c r="N350">
        <v>38.739532830000002</v>
      </c>
    </row>
    <row r="351" spans="1:14" x14ac:dyDescent="0.45">
      <c r="A351" t="s">
        <v>416</v>
      </c>
      <c r="B351" t="s">
        <v>1</v>
      </c>
      <c r="C351" t="s">
        <v>8</v>
      </c>
      <c r="D351" t="s">
        <v>3</v>
      </c>
      <c r="E351" t="s">
        <v>38</v>
      </c>
      <c r="F351" t="s">
        <v>5</v>
      </c>
      <c r="G351">
        <v>1971</v>
      </c>
      <c r="H351">
        <v>9290.9</v>
      </c>
      <c r="I351">
        <v>9255.2000000000007</v>
      </c>
      <c r="J351">
        <v>40.4</v>
      </c>
      <c r="K351">
        <v>9207.2000000000007</v>
      </c>
      <c r="L351">
        <v>99.099118489999995</v>
      </c>
      <c r="M351">
        <v>83.7</v>
      </c>
      <c r="N351">
        <v>0.90088150769999997</v>
      </c>
    </row>
    <row r="352" spans="1:14" x14ac:dyDescent="0.45">
      <c r="A352" t="s">
        <v>417</v>
      </c>
      <c r="B352" t="s">
        <v>1</v>
      </c>
      <c r="C352" t="s">
        <v>8</v>
      </c>
      <c r="D352" t="s">
        <v>3</v>
      </c>
      <c r="E352" t="s">
        <v>85</v>
      </c>
      <c r="F352" t="s">
        <v>5</v>
      </c>
      <c r="G352">
        <v>2007</v>
      </c>
      <c r="H352">
        <v>9213.5</v>
      </c>
      <c r="I352">
        <v>9212.7000000000007</v>
      </c>
      <c r="J352">
        <v>8.3000000000000007</v>
      </c>
      <c r="K352">
        <v>7646.2</v>
      </c>
      <c r="L352">
        <v>82.98909209</v>
      </c>
      <c r="M352">
        <v>1567.3</v>
      </c>
      <c r="N352">
        <v>17.01090791</v>
      </c>
    </row>
    <row r="353" spans="1:14" x14ac:dyDescent="0.45">
      <c r="A353" t="s">
        <v>418</v>
      </c>
      <c r="B353" t="s">
        <v>1</v>
      </c>
      <c r="C353" t="s">
        <v>20</v>
      </c>
      <c r="D353" t="s">
        <v>3</v>
      </c>
      <c r="E353" t="s">
        <v>38</v>
      </c>
      <c r="F353" t="s">
        <v>35</v>
      </c>
      <c r="G353">
        <v>1999</v>
      </c>
      <c r="H353">
        <v>9212.4</v>
      </c>
      <c r="I353">
        <v>7752.7</v>
      </c>
      <c r="J353">
        <v>1460.8</v>
      </c>
      <c r="K353">
        <v>9165</v>
      </c>
      <c r="L353">
        <v>99.4854761</v>
      </c>
      <c r="M353">
        <v>47.4</v>
      </c>
      <c r="N353">
        <v>0.51452390260000003</v>
      </c>
    </row>
    <row r="354" spans="1:14" x14ac:dyDescent="0.45">
      <c r="A354" t="s">
        <v>419</v>
      </c>
      <c r="B354" t="s">
        <v>1</v>
      </c>
      <c r="C354" t="s">
        <v>20</v>
      </c>
      <c r="D354" t="s">
        <v>3</v>
      </c>
      <c r="E354" t="s">
        <v>47</v>
      </c>
      <c r="F354" t="s">
        <v>5</v>
      </c>
      <c r="G354">
        <v>2015</v>
      </c>
      <c r="H354">
        <v>9206.7000000000007</v>
      </c>
      <c r="I354">
        <v>7645.1</v>
      </c>
      <c r="J354">
        <v>1564.1</v>
      </c>
      <c r="K354">
        <v>36.4</v>
      </c>
      <c r="L354">
        <v>0.3953642456</v>
      </c>
      <c r="M354">
        <v>9170.2999999999993</v>
      </c>
      <c r="N354">
        <v>99.60463575</v>
      </c>
    </row>
    <row r="355" spans="1:14" x14ac:dyDescent="0.45">
      <c r="A355" t="s">
        <v>420</v>
      </c>
      <c r="B355" t="s">
        <v>1</v>
      </c>
      <c r="C355" t="s">
        <v>8</v>
      </c>
      <c r="D355" t="s">
        <v>3</v>
      </c>
      <c r="E355" t="s">
        <v>9</v>
      </c>
      <c r="F355" t="s">
        <v>5</v>
      </c>
      <c r="G355">
        <v>2019</v>
      </c>
      <c r="H355">
        <v>9177.5</v>
      </c>
      <c r="I355">
        <v>7949</v>
      </c>
      <c r="J355">
        <v>1236.7</v>
      </c>
      <c r="K355">
        <v>7238.3</v>
      </c>
      <c r="L355">
        <v>78.870062649999994</v>
      </c>
      <c r="M355">
        <v>1939.2</v>
      </c>
      <c r="N355">
        <v>21.129937349999999</v>
      </c>
    </row>
    <row r="356" spans="1:14" x14ac:dyDescent="0.45">
      <c r="A356" t="s">
        <v>421</v>
      </c>
      <c r="B356" t="s">
        <v>1</v>
      </c>
      <c r="C356" t="s">
        <v>29</v>
      </c>
      <c r="D356" t="s">
        <v>11</v>
      </c>
      <c r="E356" t="s">
        <v>69</v>
      </c>
      <c r="F356" t="s">
        <v>5</v>
      </c>
      <c r="G356">
        <v>1988</v>
      </c>
      <c r="H356">
        <v>9121.6</v>
      </c>
      <c r="I356">
        <v>4954.8</v>
      </c>
      <c r="J356">
        <v>4166.8</v>
      </c>
      <c r="K356">
        <v>4039.5</v>
      </c>
      <c r="L356">
        <v>44.28499386</v>
      </c>
      <c r="M356">
        <v>5082.1000000000004</v>
      </c>
      <c r="N356">
        <v>55.71500614</v>
      </c>
    </row>
    <row r="357" spans="1:14" x14ac:dyDescent="0.45">
      <c r="A357" t="s">
        <v>422</v>
      </c>
      <c r="B357" t="s">
        <v>7</v>
      </c>
      <c r="C357" t="s">
        <v>8</v>
      </c>
      <c r="D357" t="s">
        <v>3</v>
      </c>
      <c r="E357" t="s">
        <v>9</v>
      </c>
      <c r="F357" t="s">
        <v>5</v>
      </c>
      <c r="G357">
        <v>1999</v>
      </c>
      <c r="H357">
        <v>9115.7000000000007</v>
      </c>
      <c r="I357">
        <v>7543</v>
      </c>
      <c r="J357">
        <v>1578.6</v>
      </c>
      <c r="K357">
        <v>2706.2</v>
      </c>
      <c r="L357">
        <v>29.68724289</v>
      </c>
      <c r="M357">
        <v>6409.5</v>
      </c>
      <c r="N357">
        <v>70.312757110000007</v>
      </c>
    </row>
    <row r="358" spans="1:14" x14ac:dyDescent="0.45">
      <c r="A358" t="s">
        <v>423</v>
      </c>
      <c r="B358" t="s">
        <v>1</v>
      </c>
      <c r="C358" t="s">
        <v>76</v>
      </c>
      <c r="D358" t="s">
        <v>11</v>
      </c>
      <c r="E358" t="s">
        <v>4</v>
      </c>
      <c r="F358" t="s">
        <v>35</v>
      </c>
      <c r="G358">
        <v>2002</v>
      </c>
      <c r="H358">
        <v>9107.5</v>
      </c>
      <c r="I358">
        <v>8630.9</v>
      </c>
      <c r="J358">
        <v>487.3</v>
      </c>
      <c r="K358">
        <v>5817.4</v>
      </c>
      <c r="L358">
        <v>63.874828440000002</v>
      </c>
      <c r="M358">
        <v>3290.1</v>
      </c>
      <c r="N358">
        <v>36.125171559999998</v>
      </c>
    </row>
    <row r="359" spans="1:14" x14ac:dyDescent="0.45">
      <c r="A359" t="s">
        <v>424</v>
      </c>
      <c r="B359" t="s">
        <v>1</v>
      </c>
      <c r="C359" t="s">
        <v>8</v>
      </c>
      <c r="D359" t="s">
        <v>3</v>
      </c>
      <c r="E359" t="s">
        <v>4</v>
      </c>
      <c r="F359" t="s">
        <v>5</v>
      </c>
      <c r="G359">
        <v>2001</v>
      </c>
      <c r="H359">
        <v>9084.9</v>
      </c>
      <c r="I359">
        <v>4560.6000000000004</v>
      </c>
      <c r="J359">
        <v>4524.3</v>
      </c>
      <c r="K359">
        <v>1805.2</v>
      </c>
      <c r="L359">
        <v>19.870334289999999</v>
      </c>
      <c r="M359">
        <v>7279.7</v>
      </c>
      <c r="N359">
        <v>80.129665709999998</v>
      </c>
    </row>
    <row r="360" spans="1:14" x14ac:dyDescent="0.45">
      <c r="A360" t="s">
        <v>425</v>
      </c>
      <c r="B360" t="s">
        <v>1</v>
      </c>
      <c r="C360" t="s">
        <v>76</v>
      </c>
      <c r="D360" t="s">
        <v>11</v>
      </c>
      <c r="E360" t="s">
        <v>77</v>
      </c>
      <c r="F360" t="s">
        <v>5</v>
      </c>
      <c r="G360">
        <v>2015</v>
      </c>
      <c r="H360">
        <v>9076.4</v>
      </c>
      <c r="I360">
        <v>3472</v>
      </c>
      <c r="J360">
        <v>5604.3</v>
      </c>
      <c r="K360">
        <v>752.1</v>
      </c>
      <c r="L360">
        <v>8.2863249749999994</v>
      </c>
      <c r="M360">
        <v>8324.2999999999993</v>
      </c>
      <c r="N360">
        <v>91.713675030000005</v>
      </c>
    </row>
    <row r="361" spans="1:14" x14ac:dyDescent="0.45">
      <c r="A361" t="s">
        <v>426</v>
      </c>
      <c r="B361" t="s">
        <v>1</v>
      </c>
      <c r="C361" t="s">
        <v>427</v>
      </c>
      <c r="D361" t="s">
        <v>11</v>
      </c>
      <c r="E361" t="s">
        <v>69</v>
      </c>
      <c r="F361" t="s">
        <v>5</v>
      </c>
      <c r="G361">
        <v>2008</v>
      </c>
      <c r="H361">
        <v>9056.5</v>
      </c>
      <c r="I361">
        <v>5112.2</v>
      </c>
      <c r="J361">
        <v>3944.3</v>
      </c>
      <c r="K361">
        <v>561.5</v>
      </c>
      <c r="L361">
        <v>6.1999668750000003</v>
      </c>
      <c r="M361">
        <v>8495</v>
      </c>
      <c r="N361">
        <v>93.800033130000003</v>
      </c>
    </row>
    <row r="362" spans="1:14" x14ac:dyDescent="0.45">
      <c r="A362" t="s">
        <v>428</v>
      </c>
      <c r="B362" t="s">
        <v>7</v>
      </c>
      <c r="C362" t="s">
        <v>58</v>
      </c>
      <c r="D362" t="s">
        <v>59</v>
      </c>
      <c r="E362" t="s">
        <v>60</v>
      </c>
      <c r="F362" t="s">
        <v>5</v>
      </c>
      <c r="G362">
        <v>1980</v>
      </c>
      <c r="H362">
        <v>8988.2000000000007</v>
      </c>
      <c r="I362">
        <v>2897.2</v>
      </c>
      <c r="J362">
        <v>6102.8</v>
      </c>
      <c r="K362">
        <v>551.1</v>
      </c>
      <c r="L362">
        <v>6.1313722439999996</v>
      </c>
      <c r="M362">
        <v>8437.1</v>
      </c>
      <c r="N362">
        <v>93.868627759999995</v>
      </c>
    </row>
    <row r="363" spans="1:14" x14ac:dyDescent="0.45">
      <c r="A363" t="s">
        <v>429</v>
      </c>
      <c r="B363" t="s">
        <v>1</v>
      </c>
      <c r="C363" t="s">
        <v>29</v>
      </c>
      <c r="D363" t="s">
        <v>11</v>
      </c>
      <c r="E363" t="s">
        <v>12</v>
      </c>
      <c r="F363" t="s">
        <v>5</v>
      </c>
      <c r="G363">
        <v>2018</v>
      </c>
      <c r="H363">
        <v>8965</v>
      </c>
      <c r="I363">
        <v>6387.9</v>
      </c>
      <c r="J363">
        <v>2587.4</v>
      </c>
      <c r="K363">
        <v>1238.0999999999999</v>
      </c>
      <c r="L363">
        <v>13.81037368</v>
      </c>
      <c r="M363">
        <v>7726.9</v>
      </c>
      <c r="N363">
        <v>86.189626320000002</v>
      </c>
    </row>
    <row r="364" spans="1:14" x14ac:dyDescent="0.45">
      <c r="A364" t="s">
        <v>430</v>
      </c>
      <c r="B364" t="s">
        <v>7</v>
      </c>
      <c r="C364" t="s">
        <v>427</v>
      </c>
      <c r="D364" t="s">
        <v>11</v>
      </c>
      <c r="E364" t="s">
        <v>12</v>
      </c>
      <c r="F364" t="s">
        <v>5</v>
      </c>
      <c r="G364">
        <v>2010</v>
      </c>
      <c r="H364">
        <v>8960.1</v>
      </c>
      <c r="I364">
        <v>3564</v>
      </c>
      <c r="J364">
        <v>5398.2</v>
      </c>
      <c r="K364">
        <v>687.9</v>
      </c>
      <c r="L364">
        <v>7.6773696720000002</v>
      </c>
      <c r="M364">
        <v>8272.2000000000007</v>
      </c>
      <c r="N364">
        <v>92.322630329999996</v>
      </c>
    </row>
    <row r="365" spans="1:14" x14ac:dyDescent="0.45">
      <c r="A365" t="s">
        <v>431</v>
      </c>
      <c r="B365" t="s">
        <v>1</v>
      </c>
      <c r="C365" t="s">
        <v>8</v>
      </c>
      <c r="D365" t="s">
        <v>3</v>
      </c>
      <c r="E365" t="s">
        <v>38</v>
      </c>
      <c r="F365" t="s">
        <v>5</v>
      </c>
      <c r="G365">
        <v>1973</v>
      </c>
      <c r="H365">
        <v>8927.6</v>
      </c>
      <c r="I365">
        <v>8741.2000000000007</v>
      </c>
      <c r="J365">
        <v>189.7</v>
      </c>
      <c r="K365">
        <v>8713.2999999999993</v>
      </c>
      <c r="L365">
        <v>97.599578829999999</v>
      </c>
      <c r="M365">
        <v>214.3</v>
      </c>
      <c r="N365">
        <v>2.4004211660000001</v>
      </c>
    </row>
    <row r="366" spans="1:14" x14ac:dyDescent="0.45">
      <c r="A366" t="s">
        <v>432</v>
      </c>
      <c r="B366" t="s">
        <v>1</v>
      </c>
      <c r="C366" t="s">
        <v>76</v>
      </c>
      <c r="D366" t="s">
        <v>11</v>
      </c>
      <c r="E366" t="s">
        <v>77</v>
      </c>
      <c r="F366" t="s">
        <v>5</v>
      </c>
      <c r="G366">
        <v>2011</v>
      </c>
      <c r="H366">
        <v>8916</v>
      </c>
      <c r="I366">
        <v>8080</v>
      </c>
      <c r="J366">
        <v>844.9</v>
      </c>
      <c r="K366">
        <v>7975.8</v>
      </c>
      <c r="L366">
        <v>89.454912519999993</v>
      </c>
      <c r="M366">
        <v>940.2</v>
      </c>
      <c r="N366">
        <v>10.545087479999999</v>
      </c>
    </row>
    <row r="367" spans="1:14" x14ac:dyDescent="0.45">
      <c r="A367" t="s">
        <v>433</v>
      </c>
      <c r="B367" t="s">
        <v>1</v>
      </c>
      <c r="C367" t="s">
        <v>8</v>
      </c>
      <c r="D367" t="s">
        <v>3</v>
      </c>
      <c r="E367" t="s">
        <v>9</v>
      </c>
      <c r="F367" t="s">
        <v>35</v>
      </c>
      <c r="G367">
        <v>2006</v>
      </c>
      <c r="H367">
        <v>8909.9</v>
      </c>
      <c r="I367">
        <v>6844.4</v>
      </c>
      <c r="J367">
        <v>2067.6999999999998</v>
      </c>
      <c r="K367">
        <v>6517.9</v>
      </c>
      <c r="L367">
        <v>73.153458509999993</v>
      </c>
      <c r="M367">
        <v>2392</v>
      </c>
      <c r="N367">
        <v>26.84654149</v>
      </c>
    </row>
    <row r="368" spans="1:14" x14ac:dyDescent="0.45">
      <c r="A368" t="s">
        <v>434</v>
      </c>
      <c r="B368" t="s">
        <v>1</v>
      </c>
      <c r="C368" t="s">
        <v>115</v>
      </c>
      <c r="D368" t="s">
        <v>116</v>
      </c>
      <c r="E368" t="s">
        <v>126</v>
      </c>
      <c r="F368" t="s">
        <v>5</v>
      </c>
      <c r="G368">
        <v>1977</v>
      </c>
      <c r="H368">
        <v>8906.9</v>
      </c>
      <c r="I368">
        <v>8155.5</v>
      </c>
      <c r="J368">
        <v>751.4</v>
      </c>
      <c r="K368">
        <v>5041.5</v>
      </c>
      <c r="L368">
        <v>56.602184819999998</v>
      </c>
      <c r="M368">
        <v>3865.4</v>
      </c>
      <c r="N368">
        <v>43.397815180000002</v>
      </c>
    </row>
    <row r="369" spans="1:14" x14ac:dyDescent="0.45">
      <c r="A369" t="s">
        <v>435</v>
      </c>
      <c r="B369" t="s">
        <v>7</v>
      </c>
      <c r="C369" t="s">
        <v>8</v>
      </c>
      <c r="D369" t="s">
        <v>3</v>
      </c>
      <c r="E369" t="s">
        <v>9</v>
      </c>
      <c r="F369" t="s">
        <v>5</v>
      </c>
      <c r="G369">
        <v>2010</v>
      </c>
      <c r="H369">
        <v>8899.6</v>
      </c>
      <c r="I369">
        <v>4219.1000000000004</v>
      </c>
      <c r="J369">
        <v>4681.7</v>
      </c>
      <c r="K369">
        <v>2876.3</v>
      </c>
      <c r="L369">
        <v>32.319430089999997</v>
      </c>
      <c r="M369">
        <v>6023.3</v>
      </c>
      <c r="N369">
        <v>67.680569910000003</v>
      </c>
    </row>
    <row r="370" spans="1:14" x14ac:dyDescent="0.45">
      <c r="A370" t="s">
        <v>436</v>
      </c>
      <c r="B370" t="s">
        <v>1</v>
      </c>
      <c r="C370" t="s">
        <v>8</v>
      </c>
      <c r="D370" t="s">
        <v>3</v>
      </c>
      <c r="E370" t="s">
        <v>278</v>
      </c>
      <c r="F370" t="s">
        <v>35</v>
      </c>
      <c r="G370">
        <v>1995</v>
      </c>
      <c r="H370">
        <v>8848.2999999999993</v>
      </c>
      <c r="I370">
        <v>8855.1</v>
      </c>
      <c r="J370">
        <v>0</v>
      </c>
      <c r="K370">
        <v>8823.4</v>
      </c>
      <c r="L370">
        <v>99.71859001</v>
      </c>
      <c r="M370">
        <v>24.9</v>
      </c>
      <c r="N370">
        <v>0.28140998839999998</v>
      </c>
    </row>
    <row r="371" spans="1:14" x14ac:dyDescent="0.45">
      <c r="A371" t="s">
        <v>437</v>
      </c>
      <c r="B371" t="s">
        <v>7</v>
      </c>
      <c r="C371" t="s">
        <v>8</v>
      </c>
      <c r="D371" t="s">
        <v>3</v>
      </c>
      <c r="E371" t="s">
        <v>9</v>
      </c>
      <c r="F371" t="s">
        <v>5</v>
      </c>
      <c r="G371">
        <v>2012</v>
      </c>
      <c r="H371">
        <v>8831</v>
      </c>
      <c r="I371">
        <v>6995.1</v>
      </c>
      <c r="J371">
        <v>1840.3</v>
      </c>
      <c r="K371">
        <v>6603.2</v>
      </c>
      <c r="L371">
        <v>74.772958889999998</v>
      </c>
      <c r="M371">
        <v>2227.8000000000002</v>
      </c>
      <c r="N371">
        <v>25.227041109999998</v>
      </c>
    </row>
    <row r="372" spans="1:14" x14ac:dyDescent="0.45">
      <c r="A372" t="s">
        <v>438</v>
      </c>
      <c r="B372" t="s">
        <v>7</v>
      </c>
      <c r="C372" t="s">
        <v>8</v>
      </c>
      <c r="D372" t="s">
        <v>3</v>
      </c>
      <c r="E372" t="s">
        <v>14</v>
      </c>
      <c r="F372" t="s">
        <v>5</v>
      </c>
      <c r="G372">
        <v>1985</v>
      </c>
      <c r="H372">
        <v>8828.7999999999993</v>
      </c>
      <c r="I372">
        <v>7564.4</v>
      </c>
      <c r="J372">
        <v>1267.8</v>
      </c>
      <c r="K372">
        <v>6762.6</v>
      </c>
      <c r="L372">
        <v>76.597046030000001</v>
      </c>
      <c r="M372">
        <v>2066.1999999999998</v>
      </c>
      <c r="N372">
        <v>23.402953969999999</v>
      </c>
    </row>
    <row r="373" spans="1:14" x14ac:dyDescent="0.45">
      <c r="A373" t="s">
        <v>439</v>
      </c>
      <c r="B373" t="s">
        <v>7</v>
      </c>
      <c r="C373" t="s">
        <v>134</v>
      </c>
      <c r="D373" t="s">
        <v>3</v>
      </c>
      <c r="E373" t="s">
        <v>9</v>
      </c>
      <c r="F373" t="s">
        <v>5</v>
      </c>
      <c r="G373">
        <v>2006</v>
      </c>
      <c r="H373">
        <v>8809.4</v>
      </c>
      <c r="I373">
        <v>5689.4</v>
      </c>
      <c r="J373">
        <v>3122.8</v>
      </c>
      <c r="K373">
        <v>4223.1000000000004</v>
      </c>
      <c r="L373">
        <v>47.938565619999999</v>
      </c>
      <c r="M373">
        <v>4586.3</v>
      </c>
      <c r="N373">
        <v>52.061434380000001</v>
      </c>
    </row>
    <row r="374" spans="1:14" x14ac:dyDescent="0.45">
      <c r="A374" t="s">
        <v>440</v>
      </c>
      <c r="B374" t="s">
        <v>1</v>
      </c>
      <c r="C374" t="s">
        <v>8</v>
      </c>
      <c r="D374" t="s">
        <v>11</v>
      </c>
      <c r="E374" t="s">
        <v>12</v>
      </c>
      <c r="F374" t="s">
        <v>5</v>
      </c>
      <c r="G374">
        <v>2010</v>
      </c>
      <c r="H374">
        <v>8801.6</v>
      </c>
      <c r="I374">
        <v>1220.5999999999999</v>
      </c>
      <c r="J374">
        <v>7581</v>
      </c>
      <c r="K374">
        <v>0</v>
      </c>
      <c r="L374">
        <v>0</v>
      </c>
      <c r="M374">
        <v>8801.6</v>
      </c>
      <c r="N374">
        <v>100</v>
      </c>
    </row>
    <row r="375" spans="1:14" x14ac:dyDescent="0.45">
      <c r="A375" t="s">
        <v>441</v>
      </c>
      <c r="B375" t="s">
        <v>7</v>
      </c>
      <c r="C375" t="s">
        <v>20</v>
      </c>
      <c r="D375" t="s">
        <v>3</v>
      </c>
      <c r="E375" t="s">
        <v>442</v>
      </c>
      <c r="F375" t="s">
        <v>5</v>
      </c>
      <c r="G375">
        <v>2003</v>
      </c>
      <c r="H375">
        <v>8780.4</v>
      </c>
      <c r="I375">
        <v>8238.2000000000007</v>
      </c>
      <c r="J375">
        <v>547.70000000000005</v>
      </c>
      <c r="K375">
        <v>7557.9</v>
      </c>
      <c r="L375">
        <v>86.076944100000006</v>
      </c>
      <c r="M375">
        <v>1222.5</v>
      </c>
      <c r="N375">
        <v>13.9230559</v>
      </c>
    </row>
    <row r="376" spans="1:14" x14ac:dyDescent="0.45">
      <c r="A376" t="s">
        <v>443</v>
      </c>
      <c r="B376" t="s">
        <v>1</v>
      </c>
      <c r="C376" t="s">
        <v>8</v>
      </c>
      <c r="D376" t="s">
        <v>3</v>
      </c>
      <c r="E376" t="s">
        <v>9</v>
      </c>
      <c r="F376" t="s">
        <v>35</v>
      </c>
      <c r="G376">
        <v>2010</v>
      </c>
      <c r="H376">
        <v>8779.9</v>
      </c>
      <c r="I376">
        <v>7850.9</v>
      </c>
      <c r="J376">
        <v>932.8</v>
      </c>
      <c r="K376">
        <v>8155.1</v>
      </c>
      <c r="L376">
        <v>92.883745829999995</v>
      </c>
      <c r="M376">
        <v>624.79999999999995</v>
      </c>
      <c r="N376">
        <v>7.1162541709999996</v>
      </c>
    </row>
    <row r="377" spans="1:14" x14ac:dyDescent="0.45">
      <c r="A377" t="s">
        <v>444</v>
      </c>
      <c r="B377" t="s">
        <v>1</v>
      </c>
      <c r="C377" t="s">
        <v>58</v>
      </c>
      <c r="D377" t="s">
        <v>59</v>
      </c>
      <c r="E377" t="s">
        <v>60</v>
      </c>
      <c r="F377" t="s">
        <v>5</v>
      </c>
      <c r="G377">
        <v>2015</v>
      </c>
      <c r="H377">
        <v>8733</v>
      </c>
      <c r="I377">
        <v>2987.7</v>
      </c>
      <c r="J377">
        <v>5745.3</v>
      </c>
      <c r="K377">
        <v>6.8</v>
      </c>
      <c r="L377">
        <v>7.7865567390000001E-2</v>
      </c>
      <c r="M377">
        <v>8726.2000000000007</v>
      </c>
      <c r="N377">
        <v>99.92213443</v>
      </c>
    </row>
    <row r="378" spans="1:14" x14ac:dyDescent="0.45">
      <c r="A378" t="s">
        <v>445</v>
      </c>
      <c r="B378" t="s">
        <v>1</v>
      </c>
      <c r="C378" t="s">
        <v>20</v>
      </c>
      <c r="D378" t="s">
        <v>3</v>
      </c>
      <c r="E378" t="s">
        <v>4</v>
      </c>
      <c r="F378" t="s">
        <v>5</v>
      </c>
      <c r="G378">
        <v>2015</v>
      </c>
      <c r="H378">
        <v>8715.2000000000007</v>
      </c>
      <c r="I378">
        <v>7648.8</v>
      </c>
      <c r="J378">
        <v>1071.5999999999999</v>
      </c>
      <c r="K378">
        <v>2526.6999999999998</v>
      </c>
      <c r="L378">
        <v>28.991876260000002</v>
      </c>
      <c r="M378">
        <v>6188.5</v>
      </c>
      <c r="N378">
        <v>71.008123740000002</v>
      </c>
    </row>
    <row r="379" spans="1:14" x14ac:dyDescent="0.45">
      <c r="A379" t="s">
        <v>446</v>
      </c>
      <c r="B379" t="s">
        <v>7</v>
      </c>
      <c r="C379" t="s">
        <v>2</v>
      </c>
      <c r="D379" t="s">
        <v>3</v>
      </c>
      <c r="E379" t="s">
        <v>9</v>
      </c>
      <c r="F379" t="s">
        <v>5</v>
      </c>
      <c r="G379">
        <v>2002</v>
      </c>
      <c r="H379">
        <v>8706.4</v>
      </c>
      <c r="I379">
        <v>8477.2999999999993</v>
      </c>
      <c r="J379">
        <v>233</v>
      </c>
      <c r="K379">
        <v>8083.8</v>
      </c>
      <c r="L379">
        <v>92.848938709999999</v>
      </c>
      <c r="M379">
        <v>622.6</v>
      </c>
      <c r="N379">
        <v>7.1510612880000002</v>
      </c>
    </row>
    <row r="380" spans="1:14" x14ac:dyDescent="0.45">
      <c r="A380" t="s">
        <v>447</v>
      </c>
      <c r="B380" t="s">
        <v>1</v>
      </c>
      <c r="C380" t="s">
        <v>448</v>
      </c>
      <c r="D380" t="s">
        <v>3</v>
      </c>
      <c r="E380" t="s">
        <v>47</v>
      </c>
      <c r="F380" t="s">
        <v>5</v>
      </c>
      <c r="G380">
        <v>2014</v>
      </c>
      <c r="H380">
        <v>8699.2000000000007</v>
      </c>
      <c r="I380">
        <v>8316.2000000000007</v>
      </c>
      <c r="J380">
        <v>386.2</v>
      </c>
      <c r="K380">
        <v>1923.6</v>
      </c>
      <c r="L380">
        <v>22.112378150000001</v>
      </c>
      <c r="M380">
        <v>6775.6</v>
      </c>
      <c r="N380">
        <v>77.887621850000002</v>
      </c>
    </row>
    <row r="381" spans="1:14" x14ac:dyDescent="0.45">
      <c r="A381" t="s">
        <v>449</v>
      </c>
      <c r="B381" t="s">
        <v>1</v>
      </c>
      <c r="C381" t="s">
        <v>8</v>
      </c>
      <c r="D381" t="s">
        <v>3</v>
      </c>
      <c r="E381" t="s">
        <v>38</v>
      </c>
      <c r="F381" t="s">
        <v>35</v>
      </c>
      <c r="G381">
        <v>2003</v>
      </c>
      <c r="H381">
        <v>8647.7999999999993</v>
      </c>
      <c r="I381">
        <v>8598.1</v>
      </c>
      <c r="J381">
        <v>54</v>
      </c>
      <c r="K381">
        <v>8555.2000000000007</v>
      </c>
      <c r="L381">
        <v>98.929207430000005</v>
      </c>
      <c r="M381">
        <v>92.6</v>
      </c>
      <c r="N381">
        <v>1.070792572</v>
      </c>
    </row>
    <row r="382" spans="1:14" x14ac:dyDescent="0.45">
      <c r="A382" t="s">
        <v>450</v>
      </c>
      <c r="B382" t="s">
        <v>1</v>
      </c>
      <c r="C382" t="s">
        <v>76</v>
      </c>
      <c r="D382" t="s">
        <v>11</v>
      </c>
      <c r="E382" t="s">
        <v>77</v>
      </c>
      <c r="F382" t="s">
        <v>5</v>
      </c>
      <c r="G382">
        <v>1975</v>
      </c>
      <c r="H382">
        <v>8622.1</v>
      </c>
      <c r="I382">
        <v>8534</v>
      </c>
      <c r="J382">
        <v>98.1</v>
      </c>
      <c r="K382">
        <v>7271</v>
      </c>
      <c r="L382">
        <v>84.329803639999994</v>
      </c>
      <c r="M382">
        <v>1351.1</v>
      </c>
      <c r="N382">
        <v>15.67019636</v>
      </c>
    </row>
    <row r="383" spans="1:14" x14ac:dyDescent="0.45">
      <c r="A383" t="s">
        <v>451</v>
      </c>
      <c r="B383" t="s">
        <v>1</v>
      </c>
      <c r="C383" t="s">
        <v>76</v>
      </c>
      <c r="D383" t="s">
        <v>11</v>
      </c>
      <c r="E383" t="s">
        <v>69</v>
      </c>
      <c r="F383" t="s">
        <v>5</v>
      </c>
      <c r="G383">
        <v>1992</v>
      </c>
      <c r="H383">
        <v>8617.1</v>
      </c>
      <c r="I383">
        <v>7717.5</v>
      </c>
      <c r="J383">
        <v>899.6</v>
      </c>
      <c r="K383">
        <v>6368.3</v>
      </c>
      <c r="L383">
        <v>73.903053229999998</v>
      </c>
      <c r="M383">
        <v>2248.8000000000002</v>
      </c>
      <c r="N383">
        <v>26.096946769999999</v>
      </c>
    </row>
    <row r="384" spans="1:14" x14ac:dyDescent="0.45">
      <c r="A384" t="s">
        <v>452</v>
      </c>
      <c r="B384" t="s">
        <v>1</v>
      </c>
      <c r="C384" t="s">
        <v>20</v>
      </c>
      <c r="D384" t="s">
        <v>3</v>
      </c>
      <c r="E384" t="s">
        <v>44</v>
      </c>
      <c r="F384" t="s">
        <v>35</v>
      </c>
      <c r="G384">
        <v>2012</v>
      </c>
      <c r="H384">
        <v>8591.1</v>
      </c>
      <c r="I384">
        <v>8578.7000000000007</v>
      </c>
      <c r="J384">
        <v>15.4</v>
      </c>
      <c r="K384">
        <v>7995.8</v>
      </c>
      <c r="L384">
        <v>93.070735990000003</v>
      </c>
      <c r="M384">
        <v>595.29999999999995</v>
      </c>
      <c r="N384">
        <v>6.9292640060000004</v>
      </c>
    </row>
    <row r="385" spans="1:14" x14ac:dyDescent="0.45">
      <c r="A385" t="s">
        <v>453</v>
      </c>
      <c r="B385" t="s">
        <v>1</v>
      </c>
      <c r="C385" t="s">
        <v>58</v>
      </c>
      <c r="D385" t="s">
        <v>59</v>
      </c>
      <c r="E385" t="s">
        <v>60</v>
      </c>
      <c r="F385" t="s">
        <v>35</v>
      </c>
      <c r="G385">
        <v>2009</v>
      </c>
      <c r="H385">
        <v>8584.2000000000007</v>
      </c>
      <c r="I385">
        <v>6741.1</v>
      </c>
      <c r="J385">
        <v>1843.2</v>
      </c>
      <c r="K385">
        <v>20</v>
      </c>
      <c r="L385">
        <v>0.2329861839</v>
      </c>
      <c r="M385">
        <v>8564.2000000000007</v>
      </c>
      <c r="N385">
        <v>99.767013820000003</v>
      </c>
    </row>
    <row r="386" spans="1:14" x14ac:dyDescent="0.45">
      <c r="A386" t="s">
        <v>454</v>
      </c>
      <c r="B386" t="s">
        <v>1</v>
      </c>
      <c r="C386" t="s">
        <v>8</v>
      </c>
      <c r="D386" t="s">
        <v>3</v>
      </c>
      <c r="E386" t="s">
        <v>4</v>
      </c>
      <c r="F386" t="s">
        <v>5</v>
      </c>
      <c r="G386">
        <v>2014</v>
      </c>
      <c r="H386">
        <v>8564.5</v>
      </c>
      <c r="I386">
        <v>5566.1</v>
      </c>
      <c r="J386">
        <v>3001.4</v>
      </c>
      <c r="K386">
        <v>3239</v>
      </c>
      <c r="L386">
        <v>37.81890361</v>
      </c>
      <c r="M386">
        <v>5325.5</v>
      </c>
      <c r="N386">
        <v>62.18109639</v>
      </c>
    </row>
    <row r="387" spans="1:14" x14ac:dyDescent="0.45">
      <c r="A387" t="s">
        <v>455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>
        <v>2017</v>
      </c>
      <c r="H387">
        <v>8564.4</v>
      </c>
      <c r="I387">
        <v>5619.6</v>
      </c>
      <c r="J387">
        <v>2944.9</v>
      </c>
      <c r="K387">
        <v>1852.6</v>
      </c>
      <c r="L387">
        <v>21.631404419999999</v>
      </c>
      <c r="M387">
        <v>6711.8</v>
      </c>
      <c r="N387">
        <v>78.368595580000004</v>
      </c>
    </row>
    <row r="388" spans="1:14" x14ac:dyDescent="0.45">
      <c r="A388" t="s">
        <v>456</v>
      </c>
      <c r="B388" t="s">
        <v>1</v>
      </c>
      <c r="C388" t="s">
        <v>8</v>
      </c>
      <c r="D388" t="s">
        <v>3</v>
      </c>
      <c r="E388" t="s">
        <v>38</v>
      </c>
      <c r="F388" t="s">
        <v>5</v>
      </c>
      <c r="G388">
        <v>2001</v>
      </c>
      <c r="H388">
        <v>8551.4</v>
      </c>
      <c r="I388">
        <v>8199.2999999999993</v>
      </c>
      <c r="J388">
        <v>355</v>
      </c>
      <c r="K388">
        <v>7907.6</v>
      </c>
      <c r="L388">
        <v>92.471408190000005</v>
      </c>
      <c r="M388">
        <v>643.79999999999995</v>
      </c>
      <c r="N388">
        <v>7.52859181</v>
      </c>
    </row>
    <row r="389" spans="1:14" x14ac:dyDescent="0.45">
      <c r="A389" t="s">
        <v>457</v>
      </c>
      <c r="B389" t="s">
        <v>65</v>
      </c>
      <c r="C389" t="s">
        <v>32</v>
      </c>
      <c r="D389" t="s">
        <v>33</v>
      </c>
      <c r="E389" t="s">
        <v>34</v>
      </c>
      <c r="F389" t="s">
        <v>35</v>
      </c>
      <c r="G389">
        <v>2015</v>
      </c>
      <c r="H389">
        <v>8531.2999999999993</v>
      </c>
      <c r="I389">
        <v>8465.7000000000007</v>
      </c>
      <c r="J389">
        <v>70</v>
      </c>
      <c r="K389">
        <v>8284.9</v>
      </c>
      <c r="L389">
        <v>97.111811799999998</v>
      </c>
      <c r="M389">
        <v>246.4</v>
      </c>
      <c r="N389">
        <v>2.8881882010000002</v>
      </c>
    </row>
    <row r="390" spans="1:14" x14ac:dyDescent="0.45">
      <c r="A390" t="s">
        <v>458</v>
      </c>
      <c r="B390" t="s">
        <v>1</v>
      </c>
      <c r="C390" t="s">
        <v>191</v>
      </c>
      <c r="D390" t="s">
        <v>3</v>
      </c>
      <c r="E390" t="s">
        <v>38</v>
      </c>
      <c r="F390" t="s">
        <v>35</v>
      </c>
      <c r="G390">
        <v>2008</v>
      </c>
      <c r="H390">
        <v>8509.5</v>
      </c>
      <c r="I390">
        <v>8483.9</v>
      </c>
      <c r="J390">
        <v>29.2</v>
      </c>
      <c r="K390">
        <v>6435.4</v>
      </c>
      <c r="L390">
        <v>75.626064990000003</v>
      </c>
      <c r="M390">
        <v>2074.1</v>
      </c>
      <c r="N390">
        <v>24.37393501</v>
      </c>
    </row>
    <row r="391" spans="1:14" x14ac:dyDescent="0.45">
      <c r="A391" t="s">
        <v>459</v>
      </c>
      <c r="B391" t="s">
        <v>7</v>
      </c>
      <c r="C391" t="s">
        <v>209</v>
      </c>
      <c r="D391" t="s">
        <v>11</v>
      </c>
      <c r="E391" t="s">
        <v>9</v>
      </c>
      <c r="F391" t="s">
        <v>5</v>
      </c>
      <c r="G391">
        <v>2016</v>
      </c>
      <c r="H391">
        <v>8507.9</v>
      </c>
      <c r="I391">
        <v>5811.9</v>
      </c>
      <c r="J391">
        <v>2696</v>
      </c>
      <c r="K391">
        <v>1929.8</v>
      </c>
      <c r="L391">
        <v>22.68244808</v>
      </c>
      <c r="M391">
        <v>6578.1</v>
      </c>
      <c r="N391">
        <v>77.31755192</v>
      </c>
    </row>
    <row r="392" spans="1:14" x14ac:dyDescent="0.45">
      <c r="A392" t="s">
        <v>460</v>
      </c>
      <c r="B392" t="s">
        <v>65</v>
      </c>
      <c r="C392" t="s">
        <v>8</v>
      </c>
      <c r="D392" t="s">
        <v>3</v>
      </c>
      <c r="E392" t="s">
        <v>9</v>
      </c>
      <c r="F392" t="s">
        <v>35</v>
      </c>
      <c r="G392">
        <v>1996</v>
      </c>
      <c r="H392">
        <v>8485.9</v>
      </c>
      <c r="I392">
        <v>8144</v>
      </c>
      <c r="J392">
        <v>346</v>
      </c>
      <c r="K392">
        <v>8125.7</v>
      </c>
      <c r="L392">
        <v>95.755311750000004</v>
      </c>
      <c r="M392">
        <v>360.2</v>
      </c>
      <c r="N392">
        <v>4.2446882480000001</v>
      </c>
    </row>
    <row r="393" spans="1:14" x14ac:dyDescent="0.45">
      <c r="A393" t="s">
        <v>461</v>
      </c>
      <c r="B393" t="s">
        <v>1</v>
      </c>
      <c r="C393" t="s">
        <v>32</v>
      </c>
      <c r="D393" t="s">
        <v>33</v>
      </c>
      <c r="E393" t="s">
        <v>34</v>
      </c>
      <c r="F393" t="s">
        <v>5</v>
      </c>
      <c r="G393">
        <v>2013</v>
      </c>
      <c r="H393">
        <v>8472.9</v>
      </c>
      <c r="I393">
        <v>7819.3</v>
      </c>
      <c r="J393">
        <v>656.6</v>
      </c>
      <c r="K393">
        <v>6967.6</v>
      </c>
      <c r="L393">
        <v>82.233945869999999</v>
      </c>
      <c r="M393">
        <v>1505.3</v>
      </c>
      <c r="N393">
        <v>17.766054130000001</v>
      </c>
    </row>
    <row r="394" spans="1:14" x14ac:dyDescent="0.45">
      <c r="A394" t="s">
        <v>462</v>
      </c>
      <c r="B394" t="s">
        <v>1</v>
      </c>
      <c r="C394" t="s">
        <v>8</v>
      </c>
      <c r="D394" t="s">
        <v>11</v>
      </c>
      <c r="E394" t="s">
        <v>12</v>
      </c>
      <c r="F394" t="s">
        <v>35</v>
      </c>
      <c r="G394">
        <v>2004</v>
      </c>
      <c r="H394">
        <v>8457.4</v>
      </c>
      <c r="I394">
        <v>369.6</v>
      </c>
      <c r="J394">
        <v>8087.7</v>
      </c>
      <c r="K394">
        <v>1.3</v>
      </c>
      <c r="L394">
        <v>1.537115426E-2</v>
      </c>
      <c r="M394">
        <v>8456.1</v>
      </c>
      <c r="N394">
        <v>99.984628850000007</v>
      </c>
    </row>
    <row r="395" spans="1:14" x14ac:dyDescent="0.45">
      <c r="A395" t="s">
        <v>463</v>
      </c>
      <c r="B395" t="s">
        <v>1</v>
      </c>
      <c r="C395" t="s">
        <v>8</v>
      </c>
      <c r="D395" t="s">
        <v>3</v>
      </c>
      <c r="E395" t="s">
        <v>4</v>
      </c>
      <c r="F395" t="s">
        <v>5</v>
      </c>
      <c r="G395">
        <v>2018</v>
      </c>
      <c r="H395">
        <v>8453.7000000000007</v>
      </c>
      <c r="I395">
        <v>6568.5</v>
      </c>
      <c r="J395">
        <v>1885.2</v>
      </c>
      <c r="K395">
        <v>4039.2</v>
      </c>
      <c r="L395">
        <v>47.780261899999999</v>
      </c>
      <c r="M395">
        <v>4414.5</v>
      </c>
      <c r="N395">
        <v>52.219738100000001</v>
      </c>
    </row>
    <row r="396" spans="1:14" x14ac:dyDescent="0.45">
      <c r="A396" t="s">
        <v>464</v>
      </c>
      <c r="B396" t="s">
        <v>1</v>
      </c>
      <c r="C396" t="s">
        <v>465</v>
      </c>
      <c r="D396" t="s">
        <v>244</v>
      </c>
      <c r="E396" t="s">
        <v>4</v>
      </c>
      <c r="F396" t="s">
        <v>5</v>
      </c>
      <c r="G396">
        <v>2013</v>
      </c>
      <c r="H396">
        <v>8439.5</v>
      </c>
      <c r="I396">
        <v>6942.6</v>
      </c>
      <c r="J396">
        <v>1509.4</v>
      </c>
      <c r="K396">
        <v>3538.8</v>
      </c>
      <c r="L396">
        <v>41.931394040000001</v>
      </c>
      <c r="M396">
        <v>4900.7</v>
      </c>
      <c r="N396">
        <v>58.068605959999999</v>
      </c>
    </row>
    <row r="397" spans="1:14" x14ac:dyDescent="0.45">
      <c r="A397" t="s">
        <v>466</v>
      </c>
      <c r="B397" t="s">
        <v>1</v>
      </c>
      <c r="C397" t="s">
        <v>76</v>
      </c>
      <c r="D397" t="s">
        <v>11</v>
      </c>
      <c r="E397" t="s">
        <v>77</v>
      </c>
      <c r="F397" t="s">
        <v>35</v>
      </c>
      <c r="G397">
        <v>2010</v>
      </c>
      <c r="H397">
        <v>8433.7999999999993</v>
      </c>
      <c r="I397">
        <v>7838.5</v>
      </c>
      <c r="J397">
        <v>603.29999999999995</v>
      </c>
      <c r="K397">
        <v>7244.3</v>
      </c>
      <c r="L397">
        <v>85.896037370000002</v>
      </c>
      <c r="M397">
        <v>1189.5</v>
      </c>
      <c r="N397">
        <v>14.10396263</v>
      </c>
    </row>
    <row r="398" spans="1:14" x14ac:dyDescent="0.45">
      <c r="A398" t="s">
        <v>467</v>
      </c>
      <c r="B398" t="s">
        <v>7</v>
      </c>
      <c r="C398" t="s">
        <v>8</v>
      </c>
      <c r="D398" t="s">
        <v>3</v>
      </c>
      <c r="E398" t="s">
        <v>9</v>
      </c>
      <c r="F398" t="s">
        <v>5</v>
      </c>
      <c r="G398">
        <v>2017</v>
      </c>
      <c r="H398">
        <v>8382.9</v>
      </c>
      <c r="I398">
        <v>8387.7999999999993</v>
      </c>
      <c r="J398">
        <v>0</v>
      </c>
      <c r="K398">
        <v>8380.2999999999993</v>
      </c>
      <c r="L398">
        <v>99.968984480000003</v>
      </c>
      <c r="M398">
        <v>2.6</v>
      </c>
      <c r="N398">
        <v>3.101551969E-2</v>
      </c>
    </row>
    <row r="399" spans="1:14" x14ac:dyDescent="0.45">
      <c r="A399" t="s">
        <v>468</v>
      </c>
      <c r="B399" t="s">
        <v>1</v>
      </c>
      <c r="C399" t="s">
        <v>8</v>
      </c>
      <c r="D399" t="s">
        <v>3</v>
      </c>
      <c r="E399" t="s">
        <v>442</v>
      </c>
      <c r="F399" t="s">
        <v>5</v>
      </c>
      <c r="G399">
        <v>1962</v>
      </c>
      <c r="H399">
        <v>8371.5</v>
      </c>
      <c r="I399">
        <v>7723.5</v>
      </c>
      <c r="J399">
        <v>648</v>
      </c>
      <c r="K399">
        <v>7485.7</v>
      </c>
      <c r="L399">
        <v>89.418861609999993</v>
      </c>
      <c r="M399">
        <v>885.8</v>
      </c>
      <c r="N399">
        <v>10.58113839</v>
      </c>
    </row>
    <row r="400" spans="1:14" x14ac:dyDescent="0.45">
      <c r="A400" t="s">
        <v>469</v>
      </c>
      <c r="B400" t="s">
        <v>1</v>
      </c>
      <c r="C400" t="s">
        <v>8</v>
      </c>
      <c r="D400" t="s">
        <v>3</v>
      </c>
      <c r="E400" t="s">
        <v>4</v>
      </c>
      <c r="F400" t="s">
        <v>5</v>
      </c>
      <c r="G400">
        <v>1991</v>
      </c>
      <c r="H400">
        <v>8370.9</v>
      </c>
      <c r="I400">
        <v>1884.2</v>
      </c>
      <c r="J400">
        <v>6486.7</v>
      </c>
      <c r="K400">
        <v>175.8</v>
      </c>
      <c r="L400">
        <v>2.100132602</v>
      </c>
      <c r="M400">
        <v>8195.1</v>
      </c>
      <c r="N400">
        <v>97.899867400000005</v>
      </c>
    </row>
    <row r="401" spans="1:14" x14ac:dyDescent="0.45">
      <c r="A401" t="s">
        <v>470</v>
      </c>
      <c r="B401" t="s">
        <v>1</v>
      </c>
      <c r="C401" t="s">
        <v>20</v>
      </c>
      <c r="D401" t="s">
        <v>3</v>
      </c>
      <c r="E401" t="s">
        <v>9</v>
      </c>
      <c r="F401" t="s">
        <v>5</v>
      </c>
      <c r="G401">
        <v>2003</v>
      </c>
      <c r="H401">
        <v>8366.2999999999993</v>
      </c>
      <c r="I401">
        <v>6159.1</v>
      </c>
      <c r="J401">
        <v>2210.1</v>
      </c>
      <c r="K401">
        <v>10.3</v>
      </c>
      <c r="L401">
        <v>0.1231129651</v>
      </c>
      <c r="M401">
        <v>8356</v>
      </c>
      <c r="N401">
        <v>99.876887030000006</v>
      </c>
    </row>
    <row r="402" spans="1:14" x14ac:dyDescent="0.45">
      <c r="A402" t="s">
        <v>471</v>
      </c>
      <c r="B402" t="s">
        <v>7</v>
      </c>
      <c r="C402" t="s">
        <v>8</v>
      </c>
      <c r="D402" t="s">
        <v>3</v>
      </c>
      <c r="E402" t="s">
        <v>9</v>
      </c>
      <c r="F402" t="s">
        <v>5</v>
      </c>
      <c r="G402">
        <v>2002</v>
      </c>
      <c r="H402">
        <v>8339.2999999999993</v>
      </c>
      <c r="I402">
        <v>7864.3</v>
      </c>
      <c r="J402">
        <v>477.4</v>
      </c>
      <c r="K402">
        <v>7297.4</v>
      </c>
      <c r="L402">
        <v>87.506145599999996</v>
      </c>
      <c r="M402">
        <v>1041.9000000000001</v>
      </c>
      <c r="N402">
        <v>12.4938544</v>
      </c>
    </row>
    <row r="403" spans="1:14" x14ac:dyDescent="0.45">
      <c r="A403" t="s">
        <v>472</v>
      </c>
      <c r="B403" t="s">
        <v>1</v>
      </c>
      <c r="C403" t="s">
        <v>8</v>
      </c>
      <c r="D403" t="s">
        <v>3</v>
      </c>
      <c r="E403" t="s">
        <v>38</v>
      </c>
      <c r="F403" t="s">
        <v>35</v>
      </c>
      <c r="G403">
        <v>1989</v>
      </c>
      <c r="H403">
        <v>8330.4</v>
      </c>
      <c r="I403">
        <v>8328.6</v>
      </c>
      <c r="J403">
        <v>5.6</v>
      </c>
      <c r="K403">
        <v>8188.5</v>
      </c>
      <c r="L403">
        <v>98.296600400000003</v>
      </c>
      <c r="M403">
        <v>141.9</v>
      </c>
      <c r="N403">
        <v>1.703399597</v>
      </c>
    </row>
    <row r="404" spans="1:14" x14ac:dyDescent="0.45">
      <c r="A404" t="s">
        <v>473</v>
      </c>
      <c r="B404" t="s">
        <v>1</v>
      </c>
      <c r="C404" t="s">
        <v>115</v>
      </c>
      <c r="D404" t="s">
        <v>116</v>
      </c>
      <c r="E404" t="s">
        <v>4</v>
      </c>
      <c r="F404" t="s">
        <v>5</v>
      </c>
      <c r="G404">
        <v>2006</v>
      </c>
      <c r="H404">
        <v>8326.7000000000007</v>
      </c>
      <c r="I404">
        <v>4696.3999999999996</v>
      </c>
      <c r="J404">
        <v>3630.4</v>
      </c>
      <c r="K404">
        <v>1125.8</v>
      </c>
      <c r="L404">
        <v>13.52036221</v>
      </c>
      <c r="M404">
        <v>7200.9</v>
      </c>
      <c r="N404">
        <v>86.479637789999998</v>
      </c>
    </row>
    <row r="405" spans="1:14" x14ac:dyDescent="0.45">
      <c r="A405" t="s">
        <v>474</v>
      </c>
      <c r="B405" t="s">
        <v>7</v>
      </c>
      <c r="C405" t="s">
        <v>115</v>
      </c>
      <c r="D405" t="s">
        <v>116</v>
      </c>
      <c r="E405" t="s">
        <v>475</v>
      </c>
      <c r="F405" t="s">
        <v>5</v>
      </c>
      <c r="G405">
        <v>1980</v>
      </c>
      <c r="H405">
        <v>8316.5</v>
      </c>
      <c r="I405">
        <v>8317.7999999999993</v>
      </c>
      <c r="J405">
        <v>0</v>
      </c>
      <c r="K405">
        <v>8289</v>
      </c>
      <c r="L405">
        <v>99.669332049999994</v>
      </c>
      <c r="M405">
        <v>27.5</v>
      </c>
      <c r="N405">
        <v>0.33066794929999999</v>
      </c>
    </row>
    <row r="406" spans="1:14" x14ac:dyDescent="0.45">
      <c r="A406" t="s">
        <v>476</v>
      </c>
      <c r="B406" t="s">
        <v>1</v>
      </c>
      <c r="C406" t="s">
        <v>209</v>
      </c>
      <c r="D406" t="s">
        <v>11</v>
      </c>
      <c r="E406" t="s">
        <v>4</v>
      </c>
      <c r="F406" t="s">
        <v>5</v>
      </c>
      <c r="G406">
        <v>2021</v>
      </c>
      <c r="H406">
        <v>8309.1</v>
      </c>
      <c r="I406">
        <v>5592</v>
      </c>
      <c r="J406">
        <v>2724.4</v>
      </c>
      <c r="K406">
        <v>3545.8</v>
      </c>
      <c r="L406">
        <v>42.673695109999997</v>
      </c>
      <c r="M406">
        <v>4763.3</v>
      </c>
      <c r="N406">
        <v>57.326304890000003</v>
      </c>
    </row>
    <row r="407" spans="1:14" x14ac:dyDescent="0.45">
      <c r="A407" t="s">
        <v>477</v>
      </c>
      <c r="B407" t="s">
        <v>1</v>
      </c>
      <c r="C407" t="s">
        <v>8</v>
      </c>
      <c r="D407" t="s">
        <v>11</v>
      </c>
      <c r="E407" t="s">
        <v>12</v>
      </c>
      <c r="F407" t="s">
        <v>5</v>
      </c>
      <c r="G407">
        <v>2019</v>
      </c>
      <c r="H407">
        <v>8282.2999999999993</v>
      </c>
      <c r="I407">
        <v>6707</v>
      </c>
      <c r="J407">
        <v>1607.4</v>
      </c>
      <c r="K407">
        <v>999.5</v>
      </c>
      <c r="L407">
        <v>12.06790384</v>
      </c>
      <c r="M407">
        <v>7282.8</v>
      </c>
      <c r="N407">
        <v>87.93209616</v>
      </c>
    </row>
    <row r="408" spans="1:14" x14ac:dyDescent="0.45">
      <c r="A408" t="s">
        <v>478</v>
      </c>
      <c r="B408" t="s">
        <v>1</v>
      </c>
      <c r="C408" t="s">
        <v>115</v>
      </c>
      <c r="D408" t="s">
        <v>3</v>
      </c>
      <c r="E408" t="s">
        <v>47</v>
      </c>
      <c r="F408" t="s">
        <v>5</v>
      </c>
      <c r="G408">
        <v>2013</v>
      </c>
      <c r="H408">
        <v>8278.7000000000007</v>
      </c>
      <c r="I408">
        <v>4898.7</v>
      </c>
      <c r="J408">
        <v>3389.6</v>
      </c>
      <c r="K408">
        <v>53.5</v>
      </c>
      <c r="L408">
        <v>0.64623672799999998</v>
      </c>
      <c r="M408">
        <v>8225.2000000000007</v>
      </c>
      <c r="N408">
        <v>99.353763270000002</v>
      </c>
    </row>
    <row r="409" spans="1:14" x14ac:dyDescent="0.45">
      <c r="A409" t="s">
        <v>479</v>
      </c>
      <c r="B409" t="s">
        <v>1</v>
      </c>
      <c r="C409" t="s">
        <v>191</v>
      </c>
      <c r="D409" t="s">
        <v>3</v>
      </c>
      <c r="E409" t="s">
        <v>9</v>
      </c>
      <c r="F409" t="s">
        <v>5</v>
      </c>
      <c r="G409">
        <v>2010</v>
      </c>
      <c r="H409">
        <v>8263</v>
      </c>
      <c r="I409">
        <v>3585.1</v>
      </c>
      <c r="J409">
        <v>4693.6000000000004</v>
      </c>
      <c r="K409">
        <v>6241</v>
      </c>
      <c r="L409">
        <v>75.529468719999997</v>
      </c>
      <c r="M409">
        <v>2022</v>
      </c>
      <c r="N409">
        <v>24.470531279999999</v>
      </c>
    </row>
    <row r="410" spans="1:14" x14ac:dyDescent="0.45">
      <c r="A410" t="s">
        <v>480</v>
      </c>
      <c r="B410" t="s">
        <v>1</v>
      </c>
      <c r="C410" t="s">
        <v>8</v>
      </c>
      <c r="D410" t="s">
        <v>3</v>
      </c>
      <c r="E410" t="s">
        <v>4</v>
      </c>
      <c r="F410" t="s">
        <v>5</v>
      </c>
      <c r="G410">
        <v>2017</v>
      </c>
      <c r="H410">
        <v>8240.2000000000007</v>
      </c>
      <c r="I410">
        <v>6845.4</v>
      </c>
      <c r="J410">
        <v>1394.8</v>
      </c>
      <c r="K410">
        <v>2320.6999999999998</v>
      </c>
      <c r="L410">
        <v>28.163151379999999</v>
      </c>
      <c r="M410">
        <v>5919.5</v>
      </c>
      <c r="N410">
        <v>71.836848619999998</v>
      </c>
    </row>
    <row r="411" spans="1:14" x14ac:dyDescent="0.45">
      <c r="A411" t="s">
        <v>481</v>
      </c>
      <c r="B411" t="s">
        <v>1</v>
      </c>
      <c r="C411" t="s">
        <v>8</v>
      </c>
      <c r="D411" t="s">
        <v>3</v>
      </c>
      <c r="E411" t="s">
        <v>4</v>
      </c>
      <c r="F411" t="s">
        <v>5</v>
      </c>
      <c r="G411">
        <v>1992</v>
      </c>
      <c r="H411">
        <v>8235.9</v>
      </c>
      <c r="I411">
        <v>1236.7</v>
      </c>
      <c r="J411">
        <v>6999.2</v>
      </c>
      <c r="K411">
        <v>228.2</v>
      </c>
      <c r="L411">
        <v>2.7707961490000002</v>
      </c>
      <c r="M411">
        <v>8007.7</v>
      </c>
      <c r="N411">
        <v>97.229203850000005</v>
      </c>
    </row>
    <row r="412" spans="1:14" x14ac:dyDescent="0.45">
      <c r="A412" t="s">
        <v>482</v>
      </c>
      <c r="B412" t="s">
        <v>1</v>
      </c>
      <c r="C412" t="s">
        <v>8</v>
      </c>
      <c r="D412" t="s">
        <v>11</v>
      </c>
      <c r="E412" t="s">
        <v>12</v>
      </c>
      <c r="F412" t="s">
        <v>5</v>
      </c>
      <c r="G412">
        <v>2014</v>
      </c>
      <c r="H412">
        <v>8216.5</v>
      </c>
      <c r="I412">
        <v>760.9</v>
      </c>
      <c r="J412">
        <v>7455.6</v>
      </c>
      <c r="K412">
        <v>196.8</v>
      </c>
      <c r="L412">
        <v>2.3951804299999999</v>
      </c>
      <c r="M412">
        <v>8019.7</v>
      </c>
      <c r="N412">
        <v>97.604819570000004</v>
      </c>
    </row>
    <row r="413" spans="1:14" x14ac:dyDescent="0.45">
      <c r="A413" t="s">
        <v>483</v>
      </c>
      <c r="B413" t="s">
        <v>1</v>
      </c>
      <c r="C413" t="s">
        <v>76</v>
      </c>
      <c r="D413" t="s">
        <v>11</v>
      </c>
      <c r="E413" t="s">
        <v>77</v>
      </c>
      <c r="F413" t="s">
        <v>5</v>
      </c>
      <c r="G413">
        <v>1966</v>
      </c>
      <c r="H413">
        <v>8205.4</v>
      </c>
      <c r="I413">
        <v>8009</v>
      </c>
      <c r="J413">
        <v>204.5</v>
      </c>
      <c r="K413">
        <v>7878.1</v>
      </c>
      <c r="L413">
        <v>96.011163379999999</v>
      </c>
      <c r="M413">
        <v>327.3</v>
      </c>
      <c r="N413">
        <v>3.9888366199999998</v>
      </c>
    </row>
    <row r="414" spans="1:14" x14ac:dyDescent="0.45">
      <c r="A414" t="s">
        <v>484</v>
      </c>
      <c r="B414" t="s">
        <v>1</v>
      </c>
      <c r="C414" t="s">
        <v>2</v>
      </c>
      <c r="D414" t="s">
        <v>3</v>
      </c>
      <c r="E414" t="s">
        <v>38</v>
      </c>
      <c r="F414" t="s">
        <v>35</v>
      </c>
      <c r="G414">
        <v>2003</v>
      </c>
      <c r="H414">
        <v>8203</v>
      </c>
      <c r="I414">
        <v>7983.1</v>
      </c>
      <c r="J414">
        <v>224.9</v>
      </c>
      <c r="K414">
        <v>7947.8</v>
      </c>
      <c r="L414">
        <v>96.888943069999996</v>
      </c>
      <c r="M414">
        <v>255.2</v>
      </c>
      <c r="N414">
        <v>3.1110569300000002</v>
      </c>
    </row>
    <row r="415" spans="1:14" x14ac:dyDescent="0.45">
      <c r="A415" t="s">
        <v>485</v>
      </c>
      <c r="B415" t="s">
        <v>65</v>
      </c>
      <c r="C415" t="s">
        <v>8</v>
      </c>
      <c r="D415" t="s">
        <v>3</v>
      </c>
      <c r="E415" t="s">
        <v>38</v>
      </c>
      <c r="F415" t="s">
        <v>35</v>
      </c>
      <c r="G415">
        <v>1973</v>
      </c>
      <c r="H415">
        <v>8200.1</v>
      </c>
      <c r="I415">
        <v>7224.1</v>
      </c>
      <c r="J415">
        <v>979.3</v>
      </c>
      <c r="K415">
        <v>7171.3</v>
      </c>
      <c r="L415">
        <v>87.453811540000004</v>
      </c>
      <c r="M415">
        <v>1028.8</v>
      </c>
      <c r="N415">
        <v>12.54618846</v>
      </c>
    </row>
    <row r="416" spans="1:14" x14ac:dyDescent="0.45">
      <c r="A416" t="s">
        <v>486</v>
      </c>
      <c r="B416" t="s">
        <v>1</v>
      </c>
      <c r="C416" t="s">
        <v>20</v>
      </c>
      <c r="D416" t="s">
        <v>3</v>
      </c>
      <c r="E416" t="s">
        <v>9</v>
      </c>
      <c r="F416" t="s">
        <v>35</v>
      </c>
      <c r="G416">
        <v>1963</v>
      </c>
      <c r="H416">
        <v>8197.2000000000007</v>
      </c>
      <c r="I416">
        <v>8080.4</v>
      </c>
      <c r="J416">
        <v>120.7</v>
      </c>
      <c r="K416">
        <v>7892.6</v>
      </c>
      <c r="L416">
        <v>96.284097009999996</v>
      </c>
      <c r="M416">
        <v>304.60000000000002</v>
      </c>
      <c r="N416">
        <v>3.7159029910000001</v>
      </c>
    </row>
    <row r="417" spans="1:14" x14ac:dyDescent="0.45">
      <c r="A417" t="s">
        <v>487</v>
      </c>
      <c r="B417" t="s">
        <v>1</v>
      </c>
      <c r="C417" t="s">
        <v>488</v>
      </c>
      <c r="D417" t="s">
        <v>59</v>
      </c>
      <c r="E417" t="s">
        <v>60</v>
      </c>
      <c r="F417" t="s">
        <v>5</v>
      </c>
      <c r="G417">
        <v>1980</v>
      </c>
      <c r="H417">
        <v>8186.9</v>
      </c>
      <c r="I417">
        <v>3408.5</v>
      </c>
      <c r="J417">
        <v>4789.5</v>
      </c>
      <c r="K417">
        <v>515.9</v>
      </c>
      <c r="L417">
        <v>6.3015304939999996</v>
      </c>
      <c r="M417">
        <v>7671</v>
      </c>
      <c r="N417">
        <v>93.698469509999995</v>
      </c>
    </row>
    <row r="418" spans="1:14" x14ac:dyDescent="0.45">
      <c r="A418" t="s">
        <v>489</v>
      </c>
      <c r="B418" t="s">
        <v>1</v>
      </c>
      <c r="C418" t="s">
        <v>29</v>
      </c>
      <c r="D418" t="s">
        <v>11</v>
      </c>
      <c r="E418" t="s">
        <v>69</v>
      </c>
      <c r="F418" t="s">
        <v>35</v>
      </c>
      <c r="G418">
        <v>2012</v>
      </c>
      <c r="H418">
        <v>8164.9</v>
      </c>
      <c r="I418">
        <v>7391.5</v>
      </c>
      <c r="J418">
        <v>775.8</v>
      </c>
      <c r="K418">
        <v>1621.1</v>
      </c>
      <c r="L418">
        <v>19.854499140000001</v>
      </c>
      <c r="M418">
        <v>6543.8</v>
      </c>
      <c r="N418">
        <v>80.145500859999999</v>
      </c>
    </row>
    <row r="419" spans="1:14" x14ac:dyDescent="0.45">
      <c r="A419" t="s">
        <v>490</v>
      </c>
      <c r="B419" t="s">
        <v>1</v>
      </c>
      <c r="C419" t="s">
        <v>8</v>
      </c>
      <c r="D419" t="s">
        <v>3</v>
      </c>
      <c r="E419" t="s">
        <v>4</v>
      </c>
      <c r="F419" t="s">
        <v>5</v>
      </c>
      <c r="G419">
        <v>2015</v>
      </c>
      <c r="H419">
        <v>8148</v>
      </c>
      <c r="I419">
        <v>7808</v>
      </c>
      <c r="J419">
        <v>340</v>
      </c>
      <c r="K419">
        <v>6616.8</v>
      </c>
      <c r="L419">
        <v>81.207658319999993</v>
      </c>
      <c r="M419">
        <v>1531.2</v>
      </c>
      <c r="N419">
        <v>18.79234168</v>
      </c>
    </row>
    <row r="420" spans="1:14" x14ac:dyDescent="0.45">
      <c r="A420" t="s">
        <v>491</v>
      </c>
      <c r="B420" t="s">
        <v>1</v>
      </c>
      <c r="C420" t="s">
        <v>81</v>
      </c>
      <c r="D420" t="s">
        <v>3</v>
      </c>
      <c r="E420" t="s">
        <v>259</v>
      </c>
      <c r="F420" t="s">
        <v>5</v>
      </c>
      <c r="G420">
        <v>2013</v>
      </c>
      <c r="H420">
        <v>8092.2</v>
      </c>
      <c r="I420">
        <v>7918.7</v>
      </c>
      <c r="J420">
        <v>176.9</v>
      </c>
      <c r="K420">
        <v>7804.3</v>
      </c>
      <c r="L420">
        <v>96.442253030000003</v>
      </c>
      <c r="M420">
        <v>287.89999999999998</v>
      </c>
      <c r="N420">
        <v>3.5577469659999998</v>
      </c>
    </row>
    <row r="421" spans="1:14" x14ac:dyDescent="0.45">
      <c r="A421" t="s">
        <v>492</v>
      </c>
      <c r="B421" t="s">
        <v>1</v>
      </c>
      <c r="C421" t="s">
        <v>8</v>
      </c>
      <c r="D421" t="s">
        <v>3</v>
      </c>
      <c r="E421" t="s">
        <v>259</v>
      </c>
      <c r="F421" t="s">
        <v>5</v>
      </c>
      <c r="G421">
        <v>2007</v>
      </c>
      <c r="H421">
        <v>8065.4</v>
      </c>
      <c r="I421">
        <v>7161.8</v>
      </c>
      <c r="J421">
        <v>905.7</v>
      </c>
      <c r="K421">
        <v>4817</v>
      </c>
      <c r="L421">
        <v>59.724254219999999</v>
      </c>
      <c r="M421">
        <v>3248.4</v>
      </c>
      <c r="N421">
        <v>40.275745780000001</v>
      </c>
    </row>
    <row r="422" spans="1:14" x14ac:dyDescent="0.45">
      <c r="A422" t="s">
        <v>493</v>
      </c>
      <c r="B422" t="s">
        <v>1</v>
      </c>
      <c r="C422" t="s">
        <v>8</v>
      </c>
      <c r="D422" t="s">
        <v>11</v>
      </c>
      <c r="E422" t="s">
        <v>77</v>
      </c>
      <c r="F422" t="s">
        <v>35</v>
      </c>
      <c r="G422">
        <v>2020</v>
      </c>
      <c r="H422">
        <v>8063.4</v>
      </c>
      <c r="I422">
        <v>5540.4</v>
      </c>
      <c r="J422">
        <v>2525</v>
      </c>
      <c r="K422">
        <v>3610.3</v>
      </c>
      <c r="L422">
        <v>44.773916710000002</v>
      </c>
      <c r="M422">
        <v>4453.1000000000004</v>
      </c>
      <c r="N422">
        <v>55.226083289999998</v>
      </c>
    </row>
    <row r="423" spans="1:14" x14ac:dyDescent="0.45">
      <c r="A423" t="s">
        <v>494</v>
      </c>
      <c r="B423" t="s">
        <v>7</v>
      </c>
      <c r="C423" t="s">
        <v>32</v>
      </c>
      <c r="D423" t="s">
        <v>33</v>
      </c>
      <c r="E423" t="s">
        <v>34</v>
      </c>
      <c r="F423" t="s">
        <v>5</v>
      </c>
      <c r="G423">
        <v>2016</v>
      </c>
      <c r="H423">
        <v>8056.8</v>
      </c>
      <c r="I423">
        <v>4415.6000000000004</v>
      </c>
      <c r="J423">
        <v>3648.3</v>
      </c>
      <c r="K423">
        <v>3447</v>
      </c>
      <c r="L423">
        <v>42.783735479999997</v>
      </c>
      <c r="M423">
        <v>4609.8</v>
      </c>
      <c r="N423">
        <v>57.216264520000003</v>
      </c>
    </row>
    <row r="424" spans="1:14" x14ac:dyDescent="0.45">
      <c r="A424" t="s">
        <v>495</v>
      </c>
      <c r="B424" t="s">
        <v>1</v>
      </c>
      <c r="C424" t="s">
        <v>8</v>
      </c>
      <c r="D424" t="s">
        <v>3</v>
      </c>
      <c r="E424" t="s">
        <v>4</v>
      </c>
      <c r="F424" t="s">
        <v>5</v>
      </c>
      <c r="G424">
        <v>2011</v>
      </c>
      <c r="H424">
        <v>8043.6</v>
      </c>
      <c r="I424">
        <v>7678.7</v>
      </c>
      <c r="J424">
        <v>364.9</v>
      </c>
      <c r="K424">
        <v>6527.6</v>
      </c>
      <c r="L424">
        <v>81.152717690000003</v>
      </c>
      <c r="M424">
        <v>1516</v>
      </c>
      <c r="N424">
        <v>18.847282310000001</v>
      </c>
    </row>
    <row r="425" spans="1:14" x14ac:dyDescent="0.45">
      <c r="A425" t="s">
        <v>496</v>
      </c>
      <c r="B425" t="s">
        <v>1</v>
      </c>
      <c r="C425" t="s">
        <v>8</v>
      </c>
      <c r="D425" t="s">
        <v>3</v>
      </c>
      <c r="E425" t="s">
        <v>4</v>
      </c>
      <c r="F425" t="s">
        <v>35</v>
      </c>
      <c r="G425">
        <v>2013</v>
      </c>
      <c r="H425">
        <v>8030.3</v>
      </c>
      <c r="I425">
        <v>7270.4</v>
      </c>
      <c r="J425">
        <v>754.2</v>
      </c>
      <c r="K425">
        <v>4098.3999999999996</v>
      </c>
      <c r="L425">
        <v>51.0366985</v>
      </c>
      <c r="M425">
        <v>3931.9</v>
      </c>
      <c r="N425">
        <v>48.9633015</v>
      </c>
    </row>
    <row r="426" spans="1:14" x14ac:dyDescent="0.45">
      <c r="A426" t="s">
        <v>497</v>
      </c>
      <c r="B426" t="s">
        <v>7</v>
      </c>
      <c r="C426" t="s">
        <v>20</v>
      </c>
      <c r="D426" t="s">
        <v>3</v>
      </c>
      <c r="E426" t="s">
        <v>9</v>
      </c>
      <c r="F426" t="s">
        <v>5</v>
      </c>
      <c r="G426">
        <v>2014</v>
      </c>
      <c r="H426">
        <v>8019.9</v>
      </c>
      <c r="I426">
        <v>3097.3</v>
      </c>
      <c r="J426">
        <v>4922.6000000000004</v>
      </c>
      <c r="K426">
        <v>2755.3</v>
      </c>
      <c r="L426">
        <v>34.355789969999996</v>
      </c>
      <c r="M426">
        <v>5264.6</v>
      </c>
      <c r="N426">
        <v>65.644210029999996</v>
      </c>
    </row>
    <row r="427" spans="1:14" x14ac:dyDescent="0.45">
      <c r="A427" t="s">
        <v>498</v>
      </c>
      <c r="B427" t="s">
        <v>1</v>
      </c>
      <c r="C427" t="s">
        <v>20</v>
      </c>
      <c r="D427" t="s">
        <v>3</v>
      </c>
      <c r="E427" t="s">
        <v>38</v>
      </c>
      <c r="F427" t="s">
        <v>35</v>
      </c>
      <c r="G427">
        <v>1983</v>
      </c>
      <c r="H427">
        <v>8014.7</v>
      </c>
      <c r="I427">
        <v>8019.1</v>
      </c>
      <c r="J427">
        <v>0</v>
      </c>
      <c r="K427">
        <v>8014.7</v>
      </c>
      <c r="L427">
        <v>100</v>
      </c>
      <c r="M427">
        <v>0</v>
      </c>
      <c r="N427">
        <v>0</v>
      </c>
    </row>
    <row r="428" spans="1:14" x14ac:dyDescent="0.45">
      <c r="A428" t="s">
        <v>499</v>
      </c>
      <c r="B428" t="s">
        <v>1</v>
      </c>
      <c r="C428" t="s">
        <v>8</v>
      </c>
      <c r="D428" t="s">
        <v>3</v>
      </c>
      <c r="E428" t="s">
        <v>38</v>
      </c>
      <c r="F428" t="s">
        <v>35</v>
      </c>
      <c r="G428">
        <v>1972</v>
      </c>
      <c r="H428">
        <v>7987.3</v>
      </c>
      <c r="I428">
        <v>7990.9</v>
      </c>
      <c r="J428">
        <v>0</v>
      </c>
      <c r="K428">
        <v>7987.3</v>
      </c>
      <c r="L428">
        <v>100</v>
      </c>
      <c r="M428">
        <v>0</v>
      </c>
      <c r="N428">
        <v>0</v>
      </c>
    </row>
    <row r="429" spans="1:14" x14ac:dyDescent="0.45">
      <c r="A429" t="s">
        <v>500</v>
      </c>
      <c r="B429" t="s">
        <v>1</v>
      </c>
      <c r="C429" t="s">
        <v>20</v>
      </c>
      <c r="D429" t="s">
        <v>3</v>
      </c>
      <c r="E429" t="s">
        <v>38</v>
      </c>
      <c r="F429" t="s">
        <v>35</v>
      </c>
      <c r="G429">
        <v>1977</v>
      </c>
      <c r="H429">
        <v>7976.6</v>
      </c>
      <c r="I429">
        <v>7980.4</v>
      </c>
      <c r="J429">
        <v>0.6</v>
      </c>
      <c r="K429">
        <v>7960.2</v>
      </c>
      <c r="L429">
        <v>99.794398619999996</v>
      </c>
      <c r="M429">
        <v>16.399999999999999</v>
      </c>
      <c r="N429">
        <v>0.205601384</v>
      </c>
    </row>
    <row r="430" spans="1:14" x14ac:dyDescent="0.45">
      <c r="A430" t="s">
        <v>501</v>
      </c>
      <c r="B430" t="s">
        <v>1</v>
      </c>
      <c r="C430" t="s">
        <v>20</v>
      </c>
      <c r="D430" t="s">
        <v>3</v>
      </c>
      <c r="E430" t="s">
        <v>9</v>
      </c>
      <c r="F430" t="s">
        <v>5</v>
      </c>
      <c r="G430">
        <v>1981</v>
      </c>
      <c r="H430">
        <v>7940.4</v>
      </c>
      <c r="I430">
        <v>7942.6</v>
      </c>
      <c r="J430">
        <v>0</v>
      </c>
      <c r="K430">
        <v>7116.9</v>
      </c>
      <c r="L430">
        <v>89.628985950000001</v>
      </c>
      <c r="M430">
        <v>823.5</v>
      </c>
      <c r="N430">
        <v>10.371014049999999</v>
      </c>
    </row>
    <row r="431" spans="1:14" x14ac:dyDescent="0.45">
      <c r="A431" t="s">
        <v>502</v>
      </c>
      <c r="B431" t="s">
        <v>1</v>
      </c>
      <c r="C431" t="s">
        <v>8</v>
      </c>
      <c r="D431" t="s">
        <v>3</v>
      </c>
      <c r="E431" t="s">
        <v>38</v>
      </c>
      <c r="F431" t="s">
        <v>35</v>
      </c>
      <c r="G431">
        <v>2001</v>
      </c>
      <c r="H431">
        <v>7934.8</v>
      </c>
      <c r="I431">
        <v>4641.5</v>
      </c>
      <c r="J431">
        <v>3299.4</v>
      </c>
      <c r="K431">
        <v>7901.6</v>
      </c>
      <c r="L431">
        <v>99.581589960000002</v>
      </c>
      <c r="M431">
        <v>33.200000000000003</v>
      </c>
      <c r="N431">
        <v>0.41841004180000002</v>
      </c>
    </row>
    <row r="432" spans="1:14" x14ac:dyDescent="0.45">
      <c r="A432" t="s">
        <v>503</v>
      </c>
      <c r="B432" t="s">
        <v>1</v>
      </c>
      <c r="C432" t="s">
        <v>504</v>
      </c>
      <c r="D432" t="s">
        <v>505</v>
      </c>
      <c r="E432" t="s">
        <v>9</v>
      </c>
      <c r="F432" t="s">
        <v>5</v>
      </c>
      <c r="G432">
        <v>2002</v>
      </c>
      <c r="H432">
        <v>7934.5</v>
      </c>
      <c r="I432">
        <v>2022.8</v>
      </c>
      <c r="J432">
        <v>5906</v>
      </c>
      <c r="K432">
        <v>723</v>
      </c>
      <c r="L432">
        <v>9.1121053629999995</v>
      </c>
      <c r="M432">
        <v>7211.5</v>
      </c>
      <c r="N432">
        <v>90.887894639999999</v>
      </c>
    </row>
    <row r="433" spans="1:14" x14ac:dyDescent="0.45">
      <c r="A433" t="s">
        <v>506</v>
      </c>
      <c r="B433" t="s">
        <v>1</v>
      </c>
      <c r="C433" t="s">
        <v>29</v>
      </c>
      <c r="D433" t="s">
        <v>11</v>
      </c>
      <c r="E433" t="s">
        <v>12</v>
      </c>
      <c r="F433" t="s">
        <v>5</v>
      </c>
      <c r="G433">
        <v>2016</v>
      </c>
      <c r="H433">
        <v>7921.6</v>
      </c>
      <c r="I433">
        <v>7400.3</v>
      </c>
      <c r="J433">
        <v>508.4</v>
      </c>
      <c r="K433">
        <v>7.5</v>
      </c>
      <c r="L433">
        <v>9.467784286E-2</v>
      </c>
      <c r="M433">
        <v>7914.1</v>
      </c>
      <c r="N433">
        <v>99.905322159999997</v>
      </c>
    </row>
    <row r="434" spans="1:14" x14ac:dyDescent="0.45">
      <c r="A434" t="s">
        <v>507</v>
      </c>
      <c r="B434" t="s">
        <v>7</v>
      </c>
      <c r="C434" t="s">
        <v>20</v>
      </c>
      <c r="D434" t="s">
        <v>3</v>
      </c>
      <c r="E434" t="s">
        <v>442</v>
      </c>
      <c r="F434" t="s">
        <v>5</v>
      </c>
      <c r="G434">
        <v>2018</v>
      </c>
      <c r="H434">
        <v>7892.9</v>
      </c>
      <c r="I434">
        <v>7895.6</v>
      </c>
      <c r="J434">
        <v>0</v>
      </c>
      <c r="K434">
        <v>7164.5</v>
      </c>
      <c r="L434">
        <v>90.771452819999993</v>
      </c>
      <c r="M434">
        <v>728.4</v>
      </c>
      <c r="N434">
        <v>9.2285471749999992</v>
      </c>
    </row>
    <row r="435" spans="1:14" x14ac:dyDescent="0.45">
      <c r="A435" t="s">
        <v>508</v>
      </c>
      <c r="B435" t="s">
        <v>1</v>
      </c>
      <c r="C435" t="s">
        <v>20</v>
      </c>
      <c r="D435" t="s">
        <v>3</v>
      </c>
      <c r="E435" t="s">
        <v>38</v>
      </c>
      <c r="F435" t="s">
        <v>35</v>
      </c>
      <c r="G435">
        <v>1978</v>
      </c>
      <c r="H435">
        <v>7891.3</v>
      </c>
      <c r="I435">
        <v>7595.8</v>
      </c>
      <c r="J435">
        <v>298.7</v>
      </c>
      <c r="K435">
        <v>7890.8</v>
      </c>
      <c r="L435">
        <v>99.993663909999995</v>
      </c>
      <c r="M435">
        <v>0.5</v>
      </c>
      <c r="N435">
        <v>6.3360916449999999E-3</v>
      </c>
    </row>
    <row r="436" spans="1:14" x14ac:dyDescent="0.45">
      <c r="A436" t="s">
        <v>509</v>
      </c>
      <c r="B436" t="s">
        <v>7</v>
      </c>
      <c r="C436" t="s">
        <v>32</v>
      </c>
      <c r="D436" t="s">
        <v>33</v>
      </c>
      <c r="E436" t="s">
        <v>34</v>
      </c>
      <c r="F436" t="s">
        <v>35</v>
      </c>
      <c r="G436">
        <v>2022</v>
      </c>
      <c r="H436">
        <v>7886.9</v>
      </c>
      <c r="I436">
        <v>7880.6</v>
      </c>
      <c r="J436">
        <v>5.3</v>
      </c>
      <c r="K436">
        <v>7566</v>
      </c>
      <c r="L436">
        <v>95.931227730000003</v>
      </c>
      <c r="M436">
        <v>320.89999999999998</v>
      </c>
      <c r="N436">
        <v>4.068772268</v>
      </c>
    </row>
    <row r="437" spans="1:14" ht="12.75" customHeight="1" x14ac:dyDescent="0.45">
      <c r="A437" t="s">
        <v>510</v>
      </c>
      <c r="B437" t="s">
        <v>1</v>
      </c>
      <c r="C437" t="s">
        <v>8</v>
      </c>
      <c r="D437" t="s">
        <v>3</v>
      </c>
      <c r="E437" t="s">
        <v>278</v>
      </c>
      <c r="F437" t="s">
        <v>35</v>
      </c>
      <c r="G437">
        <v>2001</v>
      </c>
      <c r="H437">
        <v>7871.9</v>
      </c>
      <c r="I437">
        <v>7152</v>
      </c>
      <c r="J437">
        <v>706.6</v>
      </c>
      <c r="K437">
        <v>7858.1</v>
      </c>
      <c r="L437">
        <v>99.824692889999994</v>
      </c>
      <c r="M437">
        <v>13.8</v>
      </c>
      <c r="N437">
        <v>0.17530710499999999</v>
      </c>
    </row>
    <row r="438" spans="1:14" ht="12.75" customHeight="1" x14ac:dyDescent="0.45">
      <c r="A438" t="s">
        <v>511</v>
      </c>
      <c r="B438" t="s">
        <v>1</v>
      </c>
      <c r="C438" t="s">
        <v>512</v>
      </c>
      <c r="D438" t="s">
        <v>11</v>
      </c>
      <c r="E438" t="s">
        <v>69</v>
      </c>
      <c r="F438" t="s">
        <v>5</v>
      </c>
      <c r="G438">
        <v>1985</v>
      </c>
      <c r="H438">
        <v>7852.2</v>
      </c>
      <c r="I438">
        <v>7854.4</v>
      </c>
      <c r="J438">
        <v>4</v>
      </c>
      <c r="K438">
        <v>7062</v>
      </c>
      <c r="L438">
        <v>89.936578280000006</v>
      </c>
      <c r="M438">
        <v>790.2</v>
      </c>
      <c r="N438">
        <v>10.063421719999999</v>
      </c>
    </row>
    <row r="439" spans="1:14" x14ac:dyDescent="0.45">
      <c r="A439" t="s">
        <v>513</v>
      </c>
      <c r="B439" t="s">
        <v>65</v>
      </c>
      <c r="C439" t="s">
        <v>76</v>
      </c>
      <c r="D439" t="s">
        <v>11</v>
      </c>
      <c r="E439" t="s">
        <v>69</v>
      </c>
      <c r="F439" t="s">
        <v>35</v>
      </c>
      <c r="G439">
        <v>1982</v>
      </c>
      <c r="H439">
        <v>7838.9</v>
      </c>
      <c r="I439">
        <v>7528</v>
      </c>
      <c r="J439">
        <v>310.89999999999998</v>
      </c>
      <c r="K439">
        <v>2829.8</v>
      </c>
      <c r="L439">
        <v>36.099452730000003</v>
      </c>
      <c r="M439">
        <v>5009.1000000000004</v>
      </c>
      <c r="N439">
        <v>63.900547269999997</v>
      </c>
    </row>
    <row r="440" spans="1:14" x14ac:dyDescent="0.45">
      <c r="A440" t="s">
        <v>514</v>
      </c>
      <c r="B440" t="s">
        <v>1</v>
      </c>
      <c r="C440" t="s">
        <v>20</v>
      </c>
      <c r="D440" t="s">
        <v>3</v>
      </c>
      <c r="E440" t="s">
        <v>9</v>
      </c>
      <c r="F440" t="s">
        <v>5</v>
      </c>
      <c r="G440">
        <v>2015</v>
      </c>
      <c r="H440">
        <v>7824.1</v>
      </c>
      <c r="I440">
        <v>6895.6</v>
      </c>
      <c r="J440">
        <v>928.5</v>
      </c>
      <c r="K440">
        <v>6188.5</v>
      </c>
      <c r="L440">
        <v>79.095359209999998</v>
      </c>
      <c r="M440">
        <v>1635.6</v>
      </c>
      <c r="N440">
        <v>20.904640789999998</v>
      </c>
    </row>
    <row r="441" spans="1:14" x14ac:dyDescent="0.45">
      <c r="A441" t="s">
        <v>515</v>
      </c>
      <c r="B441" t="s">
        <v>1</v>
      </c>
      <c r="C441" t="s">
        <v>8</v>
      </c>
      <c r="D441" t="s">
        <v>3</v>
      </c>
      <c r="E441" t="s">
        <v>4</v>
      </c>
      <c r="F441" t="s">
        <v>5</v>
      </c>
      <c r="G441">
        <v>2008</v>
      </c>
      <c r="H441">
        <v>7817.3</v>
      </c>
      <c r="I441">
        <v>4590.3999999999996</v>
      </c>
      <c r="J441">
        <v>3227</v>
      </c>
      <c r="K441">
        <v>1655.2</v>
      </c>
      <c r="L441">
        <v>21.173550970000001</v>
      </c>
      <c r="M441">
        <v>6162.1</v>
      </c>
      <c r="N441">
        <v>78.826449030000006</v>
      </c>
    </row>
    <row r="442" spans="1:14" x14ac:dyDescent="0.45">
      <c r="A442" t="s">
        <v>516</v>
      </c>
      <c r="B442" t="s">
        <v>1</v>
      </c>
      <c r="C442" t="s">
        <v>8</v>
      </c>
      <c r="D442" t="s">
        <v>3</v>
      </c>
      <c r="E442" t="s">
        <v>14</v>
      </c>
      <c r="F442" t="s">
        <v>5</v>
      </c>
      <c r="G442">
        <v>2016</v>
      </c>
      <c r="H442">
        <v>7810.5</v>
      </c>
      <c r="I442">
        <v>3575.2</v>
      </c>
      <c r="J442">
        <v>4235.2</v>
      </c>
      <c r="K442">
        <v>2342.1</v>
      </c>
      <c r="L442">
        <v>29.98655656</v>
      </c>
      <c r="M442">
        <v>5468.4</v>
      </c>
      <c r="N442">
        <v>70.013443440000003</v>
      </c>
    </row>
    <row r="443" spans="1:14" x14ac:dyDescent="0.45">
      <c r="A443" t="s">
        <v>517</v>
      </c>
      <c r="B443" t="s">
        <v>1</v>
      </c>
      <c r="C443" t="s">
        <v>20</v>
      </c>
      <c r="D443" t="s">
        <v>3</v>
      </c>
      <c r="E443" t="s">
        <v>47</v>
      </c>
      <c r="F443" t="s">
        <v>35</v>
      </c>
      <c r="G443">
        <v>2010</v>
      </c>
      <c r="H443">
        <v>7787.8</v>
      </c>
      <c r="I443">
        <v>5988.8</v>
      </c>
      <c r="J443">
        <v>1801.6</v>
      </c>
      <c r="K443">
        <v>801</v>
      </c>
      <c r="L443">
        <v>10.28531806</v>
      </c>
      <c r="M443">
        <v>6986.8</v>
      </c>
      <c r="N443">
        <v>89.714681940000006</v>
      </c>
    </row>
    <row r="444" spans="1:14" x14ac:dyDescent="0.45">
      <c r="A444" t="s">
        <v>518</v>
      </c>
      <c r="B444" t="s">
        <v>1</v>
      </c>
      <c r="C444" t="s">
        <v>8</v>
      </c>
      <c r="D444" t="s">
        <v>11</v>
      </c>
      <c r="E444" t="s">
        <v>12</v>
      </c>
      <c r="F444" t="s">
        <v>5</v>
      </c>
      <c r="G444">
        <v>2014</v>
      </c>
      <c r="H444">
        <v>7785.3</v>
      </c>
      <c r="I444">
        <v>2720.2</v>
      </c>
      <c r="J444">
        <v>5065.1000000000004</v>
      </c>
      <c r="K444">
        <v>69.3</v>
      </c>
      <c r="L444">
        <v>0.89013910829999998</v>
      </c>
      <c r="M444">
        <v>7716</v>
      </c>
      <c r="N444">
        <v>99.109860889999993</v>
      </c>
    </row>
    <row r="445" spans="1:14" x14ac:dyDescent="0.45">
      <c r="A445" t="s">
        <v>519</v>
      </c>
      <c r="B445" t="s">
        <v>1</v>
      </c>
      <c r="C445" t="s">
        <v>134</v>
      </c>
      <c r="D445" t="s">
        <v>3</v>
      </c>
      <c r="E445" t="s">
        <v>47</v>
      </c>
      <c r="F445" t="s">
        <v>5</v>
      </c>
      <c r="G445">
        <v>2010</v>
      </c>
      <c r="H445">
        <v>7765.7</v>
      </c>
      <c r="I445">
        <v>4434.2</v>
      </c>
      <c r="J445">
        <v>3331.5</v>
      </c>
      <c r="K445">
        <v>781.1</v>
      </c>
      <c r="L445">
        <v>10.05833344</v>
      </c>
      <c r="M445">
        <v>6984.6</v>
      </c>
      <c r="N445">
        <v>89.941666560000002</v>
      </c>
    </row>
    <row r="446" spans="1:14" x14ac:dyDescent="0.45">
      <c r="A446" t="s">
        <v>520</v>
      </c>
      <c r="B446" t="s">
        <v>1</v>
      </c>
      <c r="C446" t="s">
        <v>521</v>
      </c>
      <c r="D446" t="s">
        <v>116</v>
      </c>
      <c r="E446" t="s">
        <v>4</v>
      </c>
      <c r="F446" t="s">
        <v>5</v>
      </c>
      <c r="G446">
        <v>2006</v>
      </c>
      <c r="H446">
        <v>7738.2</v>
      </c>
      <c r="I446">
        <v>3470.6</v>
      </c>
      <c r="J446">
        <v>4267.7</v>
      </c>
      <c r="K446">
        <v>1580.4</v>
      </c>
      <c r="L446">
        <v>20.423354270000001</v>
      </c>
      <c r="M446">
        <v>6157.8</v>
      </c>
      <c r="N446">
        <v>79.576645729999996</v>
      </c>
    </row>
    <row r="447" spans="1:14" x14ac:dyDescent="0.45">
      <c r="A447" t="s">
        <v>522</v>
      </c>
      <c r="B447" t="s">
        <v>1</v>
      </c>
      <c r="C447" t="s">
        <v>8</v>
      </c>
      <c r="D447" t="s">
        <v>3</v>
      </c>
      <c r="E447" t="s">
        <v>4</v>
      </c>
      <c r="F447" t="s">
        <v>5</v>
      </c>
      <c r="G447">
        <v>2000</v>
      </c>
      <c r="H447">
        <v>7729.6</v>
      </c>
      <c r="I447">
        <v>6445.6</v>
      </c>
      <c r="J447">
        <v>1287.7</v>
      </c>
      <c r="K447">
        <v>2355.3000000000002</v>
      </c>
      <c r="L447">
        <v>30.47117574</v>
      </c>
      <c r="M447">
        <v>5374.3</v>
      </c>
      <c r="N447">
        <v>69.528824259999993</v>
      </c>
    </row>
    <row r="448" spans="1:14" x14ac:dyDescent="0.45">
      <c r="A448" t="s">
        <v>523</v>
      </c>
      <c r="B448" t="s">
        <v>1</v>
      </c>
      <c r="C448" t="s">
        <v>20</v>
      </c>
      <c r="D448" t="s">
        <v>3</v>
      </c>
      <c r="E448" t="s">
        <v>38</v>
      </c>
      <c r="F448" t="s">
        <v>35</v>
      </c>
      <c r="G448">
        <v>2009</v>
      </c>
      <c r="H448">
        <v>7713.9</v>
      </c>
      <c r="I448">
        <v>7713.9</v>
      </c>
      <c r="J448">
        <v>0</v>
      </c>
      <c r="K448">
        <v>7200.6</v>
      </c>
      <c r="L448">
        <v>93.3457784</v>
      </c>
      <c r="M448">
        <v>513.29999999999995</v>
      </c>
      <c r="N448">
        <v>6.6542215999999996</v>
      </c>
    </row>
    <row r="449" spans="1:14" x14ac:dyDescent="0.45">
      <c r="A449" t="s">
        <v>524</v>
      </c>
      <c r="B449" t="s">
        <v>1</v>
      </c>
      <c r="C449" t="s">
        <v>58</v>
      </c>
      <c r="D449" t="s">
        <v>59</v>
      </c>
      <c r="E449" t="s">
        <v>9</v>
      </c>
      <c r="F449" t="s">
        <v>5</v>
      </c>
      <c r="G449">
        <v>1999</v>
      </c>
      <c r="H449">
        <v>7689.5</v>
      </c>
      <c r="I449">
        <v>107.1</v>
      </c>
      <c r="J449">
        <v>7598.6</v>
      </c>
      <c r="K449">
        <v>0</v>
      </c>
      <c r="L449">
        <v>0</v>
      </c>
      <c r="M449">
        <v>7689.5</v>
      </c>
      <c r="N449">
        <v>100</v>
      </c>
    </row>
    <row r="450" spans="1:14" x14ac:dyDescent="0.45">
      <c r="A450" t="s">
        <v>525</v>
      </c>
      <c r="B450" t="s">
        <v>1</v>
      </c>
      <c r="C450" t="s">
        <v>8</v>
      </c>
      <c r="D450" t="s">
        <v>3</v>
      </c>
      <c r="E450" t="s">
        <v>38</v>
      </c>
      <c r="F450" t="s">
        <v>35</v>
      </c>
      <c r="G450">
        <v>1991</v>
      </c>
      <c r="H450">
        <v>7673.1</v>
      </c>
      <c r="I450">
        <v>7673.1</v>
      </c>
      <c r="J450">
        <v>0</v>
      </c>
      <c r="K450">
        <v>7659.2</v>
      </c>
      <c r="L450">
        <v>99.818847660000003</v>
      </c>
      <c r="M450">
        <v>13.9</v>
      </c>
      <c r="N450">
        <v>0.1811523374</v>
      </c>
    </row>
    <row r="451" spans="1:14" x14ac:dyDescent="0.45">
      <c r="A451" t="s">
        <v>526</v>
      </c>
      <c r="B451" t="s">
        <v>1</v>
      </c>
      <c r="C451" t="s">
        <v>8</v>
      </c>
      <c r="D451" t="s">
        <v>11</v>
      </c>
      <c r="E451" t="s">
        <v>12</v>
      </c>
      <c r="F451" t="s">
        <v>5</v>
      </c>
      <c r="G451">
        <v>2004</v>
      </c>
      <c r="H451">
        <v>7661.6</v>
      </c>
      <c r="I451">
        <v>1713.9</v>
      </c>
      <c r="J451">
        <v>5947.7</v>
      </c>
      <c r="K451">
        <v>560.9</v>
      </c>
      <c r="L451">
        <v>7.3209251330000003</v>
      </c>
      <c r="M451">
        <v>7100.7</v>
      </c>
      <c r="N451">
        <v>92.679074869999994</v>
      </c>
    </row>
    <row r="452" spans="1:14" x14ac:dyDescent="0.45">
      <c r="A452" t="s">
        <v>527</v>
      </c>
      <c r="B452" t="s">
        <v>1</v>
      </c>
      <c r="C452" t="s">
        <v>29</v>
      </c>
      <c r="D452" t="s">
        <v>11</v>
      </c>
      <c r="E452" t="s">
        <v>12</v>
      </c>
      <c r="F452" t="s">
        <v>5</v>
      </c>
      <c r="G452">
        <v>2017</v>
      </c>
      <c r="H452">
        <v>7645.2</v>
      </c>
      <c r="I452">
        <v>4203.6000000000004</v>
      </c>
      <c r="J452">
        <v>3448.5</v>
      </c>
      <c r="K452">
        <v>1809.6</v>
      </c>
      <c r="L452">
        <v>23.669753570000001</v>
      </c>
      <c r="M452">
        <v>5835.6</v>
      </c>
      <c r="N452">
        <v>76.330246430000003</v>
      </c>
    </row>
    <row r="453" spans="1:14" x14ac:dyDescent="0.45">
      <c r="A453" t="s">
        <v>528</v>
      </c>
      <c r="B453" t="s">
        <v>7</v>
      </c>
      <c r="C453" t="s">
        <v>2</v>
      </c>
      <c r="D453" t="s">
        <v>3</v>
      </c>
      <c r="E453" t="s">
        <v>9</v>
      </c>
      <c r="F453" t="s">
        <v>5</v>
      </c>
      <c r="G453">
        <v>2000</v>
      </c>
      <c r="H453">
        <v>7628.1</v>
      </c>
      <c r="I453">
        <v>6657.6</v>
      </c>
      <c r="J453">
        <v>974.8</v>
      </c>
      <c r="K453">
        <v>3569</v>
      </c>
      <c r="L453">
        <v>46.787535560000002</v>
      </c>
      <c r="M453">
        <v>4059.1</v>
      </c>
      <c r="N453">
        <v>53.212464439999998</v>
      </c>
    </row>
    <row r="454" spans="1:14" x14ac:dyDescent="0.45">
      <c r="A454" t="s">
        <v>529</v>
      </c>
      <c r="B454" t="s">
        <v>1</v>
      </c>
      <c r="C454" t="s">
        <v>153</v>
      </c>
      <c r="D454" t="s">
        <v>154</v>
      </c>
      <c r="E454" t="s">
        <v>69</v>
      </c>
      <c r="F454" t="s">
        <v>5</v>
      </c>
      <c r="G454">
        <v>2003</v>
      </c>
      <c r="H454">
        <v>7618.8</v>
      </c>
      <c r="I454">
        <v>5257.8</v>
      </c>
      <c r="J454">
        <v>2361</v>
      </c>
      <c r="K454">
        <v>2908.3</v>
      </c>
      <c r="L454">
        <v>38.17267811</v>
      </c>
      <c r="M454">
        <v>4710.5</v>
      </c>
      <c r="N454">
        <v>61.82732189</v>
      </c>
    </row>
    <row r="455" spans="1:14" x14ac:dyDescent="0.45">
      <c r="A455" t="s">
        <v>530</v>
      </c>
      <c r="B455" t="s">
        <v>1</v>
      </c>
      <c r="C455" t="s">
        <v>8</v>
      </c>
      <c r="D455" t="s">
        <v>3</v>
      </c>
      <c r="E455" t="s">
        <v>278</v>
      </c>
      <c r="F455" t="s">
        <v>35</v>
      </c>
      <c r="G455">
        <v>2000</v>
      </c>
      <c r="H455">
        <v>7612.3</v>
      </c>
      <c r="I455">
        <v>7614.9</v>
      </c>
      <c r="J455">
        <v>0</v>
      </c>
      <c r="K455">
        <v>6849.1</v>
      </c>
      <c r="L455">
        <v>89.974120830000004</v>
      </c>
      <c r="M455">
        <v>763.2</v>
      </c>
      <c r="N455">
        <v>10.02587917</v>
      </c>
    </row>
    <row r="456" spans="1:14" x14ac:dyDescent="0.45">
      <c r="A456" t="s">
        <v>531</v>
      </c>
      <c r="B456" t="s">
        <v>7</v>
      </c>
      <c r="C456" t="s">
        <v>8</v>
      </c>
      <c r="D456" t="s">
        <v>3</v>
      </c>
      <c r="E456" t="s">
        <v>14</v>
      </c>
      <c r="F456" t="s">
        <v>5</v>
      </c>
      <c r="G456">
        <v>2016</v>
      </c>
      <c r="H456">
        <v>7608.2</v>
      </c>
      <c r="I456">
        <v>3801.5</v>
      </c>
      <c r="J456">
        <v>3806.7</v>
      </c>
      <c r="K456">
        <v>2191.8000000000002</v>
      </c>
      <c r="L456">
        <v>28.80839095</v>
      </c>
      <c r="M456">
        <v>5416.4</v>
      </c>
      <c r="N456">
        <v>71.191609049999997</v>
      </c>
    </row>
    <row r="457" spans="1:14" x14ac:dyDescent="0.45">
      <c r="A457" t="s">
        <v>532</v>
      </c>
      <c r="B457" t="s">
        <v>7</v>
      </c>
      <c r="C457" t="s">
        <v>20</v>
      </c>
      <c r="D457" t="s">
        <v>3</v>
      </c>
      <c r="E457" t="s">
        <v>9</v>
      </c>
      <c r="F457" t="s">
        <v>5</v>
      </c>
      <c r="G457">
        <v>2012</v>
      </c>
      <c r="H457">
        <v>7596.7</v>
      </c>
      <c r="I457">
        <v>3575.7</v>
      </c>
      <c r="J457">
        <v>4021</v>
      </c>
      <c r="K457">
        <v>2786.1</v>
      </c>
      <c r="L457">
        <v>36.675135259999998</v>
      </c>
      <c r="M457">
        <v>4810.6000000000004</v>
      </c>
      <c r="N457">
        <v>63.324864740000002</v>
      </c>
    </row>
    <row r="458" spans="1:14" x14ac:dyDescent="0.45">
      <c r="A458" t="s">
        <v>533</v>
      </c>
      <c r="B458" t="s">
        <v>1</v>
      </c>
      <c r="C458" t="s">
        <v>8</v>
      </c>
      <c r="D458" t="s">
        <v>3</v>
      </c>
      <c r="E458" t="s">
        <v>4</v>
      </c>
      <c r="F458" t="s">
        <v>5</v>
      </c>
      <c r="G458">
        <v>2007</v>
      </c>
      <c r="H458">
        <v>7589.1</v>
      </c>
      <c r="I458">
        <v>6273.4</v>
      </c>
      <c r="J458">
        <v>1315.7</v>
      </c>
      <c r="K458">
        <v>5418.2</v>
      </c>
      <c r="L458">
        <v>71.394500010000002</v>
      </c>
      <c r="M458">
        <v>2170.9</v>
      </c>
      <c r="N458">
        <v>28.605499989999998</v>
      </c>
    </row>
    <row r="459" spans="1:14" x14ac:dyDescent="0.45">
      <c r="A459" t="s">
        <v>534</v>
      </c>
      <c r="B459" t="s">
        <v>7</v>
      </c>
      <c r="C459" t="s">
        <v>535</v>
      </c>
      <c r="D459" t="s">
        <v>3</v>
      </c>
      <c r="E459" t="s">
        <v>38</v>
      </c>
      <c r="F459" t="s">
        <v>5</v>
      </c>
      <c r="G459">
        <v>2017</v>
      </c>
      <c r="H459">
        <v>7552.8</v>
      </c>
      <c r="I459">
        <v>5418.1</v>
      </c>
      <c r="J459">
        <v>2144.1</v>
      </c>
      <c r="K459">
        <v>4710</v>
      </c>
      <c r="L459">
        <v>62.360978709999998</v>
      </c>
      <c r="M459">
        <v>2842.8</v>
      </c>
      <c r="N459">
        <v>37.639021290000002</v>
      </c>
    </row>
    <row r="460" spans="1:14" x14ac:dyDescent="0.45">
      <c r="A460" t="s">
        <v>536</v>
      </c>
      <c r="B460" t="s">
        <v>1</v>
      </c>
      <c r="C460" t="s">
        <v>58</v>
      </c>
      <c r="D460" t="s">
        <v>537</v>
      </c>
      <c r="E460" t="s">
        <v>4</v>
      </c>
      <c r="F460" t="s">
        <v>5</v>
      </c>
      <c r="G460">
        <v>2014</v>
      </c>
      <c r="H460">
        <v>7550.3</v>
      </c>
      <c r="I460">
        <v>6212.4</v>
      </c>
      <c r="J460">
        <v>1334.7</v>
      </c>
      <c r="K460">
        <v>1537.2</v>
      </c>
      <c r="L460">
        <v>20.359455919999998</v>
      </c>
      <c r="M460">
        <v>6013.1</v>
      </c>
      <c r="N460">
        <v>79.640544079999998</v>
      </c>
    </row>
    <row r="461" spans="1:14" x14ac:dyDescent="0.45">
      <c r="A461" t="s">
        <v>538</v>
      </c>
      <c r="B461" t="s">
        <v>7</v>
      </c>
      <c r="C461" t="s">
        <v>2</v>
      </c>
      <c r="D461" t="s">
        <v>244</v>
      </c>
      <c r="E461" t="s">
        <v>9</v>
      </c>
      <c r="F461" t="s">
        <v>5</v>
      </c>
      <c r="G461">
        <v>1981</v>
      </c>
      <c r="H461">
        <v>7543.1</v>
      </c>
      <c r="I461">
        <v>7093.1</v>
      </c>
      <c r="J461">
        <v>450</v>
      </c>
      <c r="K461">
        <v>6268.7</v>
      </c>
      <c r="L461">
        <v>83.105089419999999</v>
      </c>
      <c r="M461">
        <v>1274.4000000000001</v>
      </c>
      <c r="N461">
        <v>16.894910580000001</v>
      </c>
    </row>
    <row r="462" spans="1:14" x14ac:dyDescent="0.45">
      <c r="A462" t="s">
        <v>539</v>
      </c>
      <c r="B462" t="s">
        <v>1</v>
      </c>
      <c r="C462" t="s">
        <v>2</v>
      </c>
      <c r="D462" t="s">
        <v>3</v>
      </c>
      <c r="E462" t="s">
        <v>38</v>
      </c>
      <c r="F462" t="s">
        <v>5</v>
      </c>
      <c r="G462">
        <v>1980</v>
      </c>
      <c r="H462">
        <v>7503.2</v>
      </c>
      <c r="I462">
        <v>5958.2</v>
      </c>
      <c r="J462">
        <v>1568.1</v>
      </c>
      <c r="K462">
        <v>6592.7</v>
      </c>
      <c r="L462">
        <v>87.865177520000003</v>
      </c>
      <c r="M462">
        <v>910.5</v>
      </c>
      <c r="N462">
        <v>12.13482248</v>
      </c>
    </row>
    <row r="463" spans="1:14" x14ac:dyDescent="0.45">
      <c r="A463" t="s">
        <v>540</v>
      </c>
      <c r="B463" t="s">
        <v>1</v>
      </c>
      <c r="C463" t="s">
        <v>32</v>
      </c>
      <c r="D463" t="s">
        <v>33</v>
      </c>
      <c r="E463" t="s">
        <v>34</v>
      </c>
      <c r="F463" t="s">
        <v>35</v>
      </c>
      <c r="G463">
        <v>2020</v>
      </c>
      <c r="H463">
        <v>7486.2</v>
      </c>
      <c r="I463">
        <v>7178.8</v>
      </c>
      <c r="J463">
        <v>328.1</v>
      </c>
      <c r="K463">
        <v>7290.2</v>
      </c>
      <c r="L463">
        <v>97.381849270000004</v>
      </c>
      <c r="M463">
        <v>196</v>
      </c>
      <c r="N463">
        <v>2.6181507310000001</v>
      </c>
    </row>
    <row r="464" spans="1:14" x14ac:dyDescent="0.45">
      <c r="A464" t="s">
        <v>541</v>
      </c>
      <c r="B464" t="s">
        <v>1</v>
      </c>
      <c r="C464" t="s">
        <v>8</v>
      </c>
      <c r="D464" t="s">
        <v>3</v>
      </c>
      <c r="E464" t="s">
        <v>44</v>
      </c>
      <c r="F464" t="s">
        <v>5</v>
      </c>
      <c r="G464">
        <v>2017</v>
      </c>
      <c r="H464">
        <v>7485.1</v>
      </c>
      <c r="I464">
        <v>6757.7</v>
      </c>
      <c r="J464">
        <v>735.7</v>
      </c>
      <c r="K464">
        <v>6205.8</v>
      </c>
      <c r="L464">
        <v>82.908711969999999</v>
      </c>
      <c r="M464">
        <v>1279.3</v>
      </c>
      <c r="N464">
        <v>17.091288030000001</v>
      </c>
    </row>
    <row r="465" spans="1:14" x14ac:dyDescent="0.45">
      <c r="A465" t="s">
        <v>542</v>
      </c>
      <c r="B465" t="s">
        <v>7</v>
      </c>
      <c r="C465" t="s">
        <v>153</v>
      </c>
      <c r="D465" t="s">
        <v>154</v>
      </c>
      <c r="E465" t="s">
        <v>155</v>
      </c>
      <c r="F465" t="s">
        <v>5</v>
      </c>
      <c r="G465">
        <v>2021</v>
      </c>
      <c r="H465">
        <v>7467.3</v>
      </c>
      <c r="I465">
        <v>7464.6</v>
      </c>
      <c r="J465">
        <v>26</v>
      </c>
      <c r="K465">
        <v>1330.8</v>
      </c>
      <c r="L465">
        <v>17.82170262</v>
      </c>
      <c r="M465">
        <v>6136.5</v>
      </c>
      <c r="N465">
        <v>82.178297380000004</v>
      </c>
    </row>
    <row r="466" spans="1:14" x14ac:dyDescent="0.45">
      <c r="A466" t="s">
        <v>543</v>
      </c>
      <c r="B466" t="s">
        <v>1</v>
      </c>
      <c r="C466" t="s">
        <v>8</v>
      </c>
      <c r="D466" t="s">
        <v>3</v>
      </c>
      <c r="E466" t="s">
        <v>9</v>
      </c>
      <c r="F466" t="s">
        <v>35</v>
      </c>
      <c r="G466">
        <v>2014</v>
      </c>
      <c r="H466">
        <v>7453.2</v>
      </c>
      <c r="I466">
        <v>2524.9</v>
      </c>
      <c r="J466">
        <v>4942.3999999999996</v>
      </c>
      <c r="K466">
        <v>6424.3</v>
      </c>
      <c r="L466">
        <v>86.19519133</v>
      </c>
      <c r="M466">
        <v>1028.9000000000001</v>
      </c>
      <c r="N466">
        <v>13.80480867</v>
      </c>
    </row>
    <row r="467" spans="1:14" x14ac:dyDescent="0.45">
      <c r="A467" t="s">
        <v>544</v>
      </c>
      <c r="B467" t="s">
        <v>1</v>
      </c>
      <c r="C467" t="s">
        <v>8</v>
      </c>
      <c r="D467" t="s">
        <v>3</v>
      </c>
      <c r="E467" t="s">
        <v>85</v>
      </c>
      <c r="F467" t="s">
        <v>5</v>
      </c>
      <c r="G467">
        <v>1955</v>
      </c>
      <c r="H467">
        <v>7450.6</v>
      </c>
      <c r="I467">
        <v>6491.8</v>
      </c>
      <c r="J467">
        <v>961.4</v>
      </c>
      <c r="K467">
        <v>5866.4</v>
      </c>
      <c r="L467">
        <v>78.737282899999997</v>
      </c>
      <c r="M467">
        <v>1584.2</v>
      </c>
      <c r="N467">
        <v>21.2627171</v>
      </c>
    </row>
    <row r="468" spans="1:14" x14ac:dyDescent="0.45">
      <c r="A468" t="s">
        <v>545</v>
      </c>
      <c r="B468" t="s">
        <v>1</v>
      </c>
      <c r="C468" t="s">
        <v>8</v>
      </c>
      <c r="D468" t="s">
        <v>3</v>
      </c>
      <c r="E468" t="s">
        <v>4</v>
      </c>
      <c r="F468" t="s">
        <v>5</v>
      </c>
      <c r="G468">
        <v>2007</v>
      </c>
      <c r="H468">
        <v>7431.9</v>
      </c>
      <c r="I468">
        <v>6391.9</v>
      </c>
      <c r="J468">
        <v>1058.7</v>
      </c>
      <c r="K468">
        <v>528.20000000000005</v>
      </c>
      <c r="L468">
        <v>7.1072000429999997</v>
      </c>
      <c r="M468">
        <v>6903.7</v>
      </c>
      <c r="N468">
        <v>92.892799960000005</v>
      </c>
    </row>
    <row r="469" spans="1:14" x14ac:dyDescent="0.45">
      <c r="A469" t="s">
        <v>546</v>
      </c>
      <c r="B469" t="s">
        <v>1</v>
      </c>
      <c r="C469" t="s">
        <v>8</v>
      </c>
      <c r="D469" t="s">
        <v>3</v>
      </c>
      <c r="E469" t="s">
        <v>85</v>
      </c>
      <c r="F469" t="s">
        <v>5</v>
      </c>
      <c r="G469">
        <v>2005</v>
      </c>
      <c r="H469">
        <v>7423.5</v>
      </c>
      <c r="I469">
        <v>7117.2</v>
      </c>
      <c r="J469">
        <v>319.89999999999998</v>
      </c>
      <c r="K469">
        <v>6510.5</v>
      </c>
      <c r="L469">
        <v>87.701219100000003</v>
      </c>
      <c r="M469">
        <v>913</v>
      </c>
      <c r="N469">
        <v>12.298780900000001</v>
      </c>
    </row>
    <row r="470" spans="1:14" x14ac:dyDescent="0.45">
      <c r="A470" t="s">
        <v>547</v>
      </c>
      <c r="B470" t="s">
        <v>1</v>
      </c>
      <c r="C470" t="s">
        <v>153</v>
      </c>
      <c r="D470" t="s">
        <v>154</v>
      </c>
      <c r="E470" t="s">
        <v>155</v>
      </c>
      <c r="F470" t="s">
        <v>5</v>
      </c>
      <c r="G470">
        <v>2009</v>
      </c>
      <c r="H470">
        <v>7416.8</v>
      </c>
      <c r="I470">
        <v>4668.1000000000004</v>
      </c>
      <c r="J470">
        <v>2767</v>
      </c>
      <c r="K470">
        <v>4913.6000000000004</v>
      </c>
      <c r="L470">
        <v>66.249595510000006</v>
      </c>
      <c r="M470">
        <v>2503.1999999999998</v>
      </c>
      <c r="N470">
        <v>33.750404490000001</v>
      </c>
    </row>
    <row r="471" spans="1:14" x14ac:dyDescent="0.45">
      <c r="A471" t="s">
        <v>548</v>
      </c>
      <c r="B471" t="s">
        <v>1</v>
      </c>
      <c r="C471" t="s">
        <v>209</v>
      </c>
      <c r="D471" t="s">
        <v>11</v>
      </c>
      <c r="E471" t="s">
        <v>4</v>
      </c>
      <c r="F471" t="s">
        <v>5</v>
      </c>
      <c r="G471">
        <v>2017</v>
      </c>
      <c r="H471">
        <v>7405.6</v>
      </c>
      <c r="I471">
        <v>6405.3</v>
      </c>
      <c r="J471">
        <v>1014.5</v>
      </c>
      <c r="K471">
        <v>639.20000000000005</v>
      </c>
      <c r="L471">
        <v>8.631306039</v>
      </c>
      <c r="M471">
        <v>6766.4</v>
      </c>
      <c r="N471">
        <v>91.368693960000002</v>
      </c>
    </row>
    <row r="472" spans="1:14" x14ac:dyDescent="0.45">
      <c r="A472" t="s">
        <v>549</v>
      </c>
      <c r="B472" t="s">
        <v>7</v>
      </c>
      <c r="C472" t="s">
        <v>153</v>
      </c>
      <c r="D472" t="s">
        <v>154</v>
      </c>
      <c r="E472" t="s">
        <v>155</v>
      </c>
      <c r="F472" t="s">
        <v>35</v>
      </c>
      <c r="G472">
        <v>2013</v>
      </c>
      <c r="H472">
        <v>7388.4</v>
      </c>
      <c r="I472">
        <v>3471.7</v>
      </c>
      <c r="J472">
        <v>3933.9</v>
      </c>
      <c r="K472">
        <v>2317.8000000000002</v>
      </c>
      <c r="L472">
        <v>31.370797469999999</v>
      </c>
      <c r="M472">
        <v>5070.6000000000004</v>
      </c>
      <c r="N472">
        <v>68.629202530000001</v>
      </c>
    </row>
    <row r="473" spans="1:14" x14ac:dyDescent="0.45">
      <c r="A473" t="s">
        <v>550</v>
      </c>
      <c r="B473" t="s">
        <v>1</v>
      </c>
      <c r="C473" t="s">
        <v>153</v>
      </c>
      <c r="D473" t="s">
        <v>154</v>
      </c>
      <c r="E473" t="s">
        <v>69</v>
      </c>
      <c r="F473" t="s">
        <v>5</v>
      </c>
      <c r="G473">
        <v>2015</v>
      </c>
      <c r="H473">
        <v>7387.8</v>
      </c>
      <c r="I473">
        <v>2807.5</v>
      </c>
      <c r="J473">
        <v>4581</v>
      </c>
      <c r="K473">
        <v>359.7</v>
      </c>
      <c r="L473">
        <v>4.8688378139999999</v>
      </c>
      <c r="M473">
        <v>7028.1</v>
      </c>
      <c r="N473">
        <v>95.131162189999998</v>
      </c>
    </row>
    <row r="474" spans="1:14" x14ac:dyDescent="0.45">
      <c r="A474" t="s">
        <v>551</v>
      </c>
      <c r="B474" t="s">
        <v>1</v>
      </c>
      <c r="C474" t="s">
        <v>209</v>
      </c>
      <c r="D474" t="s">
        <v>11</v>
      </c>
      <c r="E474" t="s">
        <v>4</v>
      </c>
      <c r="F474" t="s">
        <v>5</v>
      </c>
      <c r="G474">
        <v>2018</v>
      </c>
      <c r="H474">
        <v>7377.9</v>
      </c>
      <c r="I474">
        <v>4274.5</v>
      </c>
      <c r="J474">
        <v>3113.3</v>
      </c>
      <c r="K474">
        <v>716.5</v>
      </c>
      <c r="L474">
        <v>9.7114355030000006</v>
      </c>
      <c r="M474">
        <v>6661.4</v>
      </c>
      <c r="N474">
        <v>90.288564500000007</v>
      </c>
    </row>
    <row r="475" spans="1:14" x14ac:dyDescent="0.45">
      <c r="A475" t="s">
        <v>552</v>
      </c>
      <c r="B475" t="s">
        <v>1</v>
      </c>
      <c r="C475" t="s">
        <v>20</v>
      </c>
      <c r="D475" t="s">
        <v>3</v>
      </c>
      <c r="E475" t="s">
        <v>9</v>
      </c>
      <c r="F475" t="s">
        <v>5</v>
      </c>
      <c r="G475">
        <v>2012</v>
      </c>
      <c r="H475">
        <v>7352.6</v>
      </c>
      <c r="I475">
        <v>3894</v>
      </c>
      <c r="J475">
        <v>3483.8</v>
      </c>
      <c r="K475">
        <v>6069.3</v>
      </c>
      <c r="L475">
        <v>82.546310149999996</v>
      </c>
      <c r="M475">
        <v>1283.3</v>
      </c>
      <c r="N475">
        <v>17.45368985</v>
      </c>
    </row>
    <row r="476" spans="1:14" x14ac:dyDescent="0.45">
      <c r="A476" t="s">
        <v>553</v>
      </c>
      <c r="B476" t="s">
        <v>65</v>
      </c>
      <c r="C476" t="s">
        <v>8</v>
      </c>
      <c r="D476" t="s">
        <v>3</v>
      </c>
      <c r="E476" t="s">
        <v>4</v>
      </c>
      <c r="F476" t="s">
        <v>35</v>
      </c>
      <c r="G476">
        <v>2009</v>
      </c>
      <c r="H476">
        <v>7347.9</v>
      </c>
      <c r="I476">
        <v>6711.8</v>
      </c>
      <c r="J476">
        <v>643.70000000000005</v>
      </c>
      <c r="K476">
        <v>114.9</v>
      </c>
      <c r="L476">
        <v>1.563712081</v>
      </c>
      <c r="M476">
        <v>7233</v>
      </c>
      <c r="N476">
        <v>98.436287919999998</v>
      </c>
    </row>
    <row r="477" spans="1:14" x14ac:dyDescent="0.45">
      <c r="A477" t="s">
        <v>554</v>
      </c>
      <c r="B477" t="s">
        <v>1</v>
      </c>
      <c r="C477" t="s">
        <v>8</v>
      </c>
      <c r="D477" t="s">
        <v>3</v>
      </c>
      <c r="E477" t="s">
        <v>85</v>
      </c>
      <c r="F477" t="s">
        <v>5</v>
      </c>
      <c r="G477">
        <v>2012</v>
      </c>
      <c r="H477">
        <v>7337.5</v>
      </c>
      <c r="I477">
        <v>3928</v>
      </c>
      <c r="J477">
        <v>3422.3</v>
      </c>
      <c r="K477">
        <v>5340.9</v>
      </c>
      <c r="L477">
        <v>72.789097100000006</v>
      </c>
      <c r="M477">
        <v>1996.6</v>
      </c>
      <c r="N477">
        <v>27.210902900000001</v>
      </c>
    </row>
    <row r="478" spans="1:14" x14ac:dyDescent="0.45">
      <c r="A478" t="s">
        <v>555</v>
      </c>
      <c r="B478" t="s">
        <v>7</v>
      </c>
      <c r="C478" t="s">
        <v>556</v>
      </c>
      <c r="D478" t="s">
        <v>3</v>
      </c>
      <c r="E478" t="s">
        <v>9</v>
      </c>
      <c r="F478" t="s">
        <v>5</v>
      </c>
      <c r="G478">
        <v>2006</v>
      </c>
      <c r="H478">
        <v>7335.2</v>
      </c>
      <c r="I478">
        <v>6735.6</v>
      </c>
      <c r="J478">
        <v>602</v>
      </c>
      <c r="K478">
        <v>1341.8</v>
      </c>
      <c r="L478">
        <v>18.292616420000002</v>
      </c>
      <c r="M478">
        <v>5993.4</v>
      </c>
      <c r="N478">
        <v>81.707383579999998</v>
      </c>
    </row>
    <row r="479" spans="1:14" x14ac:dyDescent="0.45">
      <c r="A479" t="s">
        <v>557</v>
      </c>
      <c r="B479" t="s">
        <v>1</v>
      </c>
      <c r="C479" t="s">
        <v>8</v>
      </c>
      <c r="D479" t="s">
        <v>3</v>
      </c>
      <c r="E479" t="s">
        <v>278</v>
      </c>
      <c r="F479" t="s">
        <v>35</v>
      </c>
      <c r="G479">
        <v>2007</v>
      </c>
      <c r="H479">
        <v>7326.6</v>
      </c>
      <c r="I479">
        <v>1671.1</v>
      </c>
      <c r="J479">
        <v>5664.1</v>
      </c>
      <c r="K479">
        <v>6816.6</v>
      </c>
      <c r="L479">
        <v>93.039063139999996</v>
      </c>
      <c r="M479">
        <v>510</v>
      </c>
      <c r="N479">
        <v>6.9609368600000003</v>
      </c>
    </row>
    <row r="480" spans="1:14" x14ac:dyDescent="0.45">
      <c r="A480" t="s">
        <v>558</v>
      </c>
      <c r="B480" t="s">
        <v>1</v>
      </c>
      <c r="C480" t="s">
        <v>8</v>
      </c>
      <c r="D480" t="s">
        <v>3</v>
      </c>
      <c r="E480" t="s">
        <v>85</v>
      </c>
      <c r="F480" t="s">
        <v>5</v>
      </c>
      <c r="G480">
        <v>2014</v>
      </c>
      <c r="H480">
        <v>7313.2</v>
      </c>
      <c r="I480">
        <v>7318.3</v>
      </c>
      <c r="J480">
        <v>8.3000000000000007</v>
      </c>
      <c r="K480">
        <v>2901.6</v>
      </c>
      <c r="L480">
        <v>39.676201939999999</v>
      </c>
      <c r="M480">
        <v>4411.6000000000004</v>
      </c>
      <c r="N480">
        <v>60.323798060000001</v>
      </c>
    </row>
    <row r="481" spans="1:14" x14ac:dyDescent="0.45">
      <c r="A481" t="s">
        <v>559</v>
      </c>
      <c r="B481" t="s">
        <v>7</v>
      </c>
      <c r="C481" t="s">
        <v>560</v>
      </c>
      <c r="D481" t="s">
        <v>3</v>
      </c>
      <c r="E481" t="s">
        <v>9</v>
      </c>
      <c r="F481" t="s">
        <v>5</v>
      </c>
      <c r="G481">
        <v>2020</v>
      </c>
      <c r="H481">
        <v>7286.8</v>
      </c>
      <c r="I481">
        <v>4703.7</v>
      </c>
      <c r="J481">
        <v>2609.5</v>
      </c>
      <c r="K481">
        <v>6083.2</v>
      </c>
      <c r="L481">
        <v>83.482461439999994</v>
      </c>
      <c r="M481">
        <v>1203.5999999999999</v>
      </c>
      <c r="N481">
        <v>16.517538559999998</v>
      </c>
    </row>
    <row r="482" spans="1:14" x14ac:dyDescent="0.45">
      <c r="A482" t="s">
        <v>561</v>
      </c>
      <c r="B482" t="s">
        <v>1</v>
      </c>
      <c r="C482" t="s">
        <v>153</v>
      </c>
      <c r="D482" t="s">
        <v>154</v>
      </c>
      <c r="E482" t="s">
        <v>69</v>
      </c>
      <c r="F482" t="s">
        <v>35</v>
      </c>
      <c r="G482">
        <v>2016</v>
      </c>
      <c r="H482">
        <v>7277.6</v>
      </c>
      <c r="I482">
        <v>6836.9</v>
      </c>
      <c r="J482">
        <v>455.9</v>
      </c>
      <c r="K482">
        <v>3003</v>
      </c>
      <c r="L482">
        <v>41.26360339</v>
      </c>
      <c r="M482">
        <v>4274.6000000000004</v>
      </c>
      <c r="N482">
        <v>58.73639661</v>
      </c>
    </row>
    <row r="483" spans="1:14" x14ac:dyDescent="0.45">
      <c r="A483" t="s">
        <v>562</v>
      </c>
      <c r="B483" t="s">
        <v>7</v>
      </c>
      <c r="C483" t="s">
        <v>209</v>
      </c>
      <c r="D483" t="s">
        <v>11</v>
      </c>
      <c r="E483" t="s">
        <v>69</v>
      </c>
      <c r="F483" t="s">
        <v>5</v>
      </c>
      <c r="G483">
        <v>2019</v>
      </c>
      <c r="H483">
        <v>7256.2</v>
      </c>
      <c r="I483">
        <v>2470.4</v>
      </c>
      <c r="J483">
        <v>4785.8</v>
      </c>
      <c r="K483">
        <v>976.1</v>
      </c>
      <c r="L483">
        <v>13.45194454</v>
      </c>
      <c r="M483">
        <v>6280.1</v>
      </c>
      <c r="N483">
        <v>86.54805546</v>
      </c>
    </row>
    <row r="484" spans="1:14" x14ac:dyDescent="0.45">
      <c r="A484" t="s">
        <v>563</v>
      </c>
      <c r="B484" t="s">
        <v>1</v>
      </c>
      <c r="C484" t="s">
        <v>8</v>
      </c>
      <c r="D484" t="s">
        <v>3</v>
      </c>
      <c r="E484" t="s">
        <v>4</v>
      </c>
      <c r="F484" t="s">
        <v>5</v>
      </c>
      <c r="G484">
        <v>2012</v>
      </c>
      <c r="H484">
        <v>7252.1</v>
      </c>
      <c r="I484">
        <v>4583.7</v>
      </c>
      <c r="J484">
        <v>2668.4</v>
      </c>
      <c r="K484">
        <v>2499</v>
      </c>
      <c r="L484">
        <v>34.458984289999997</v>
      </c>
      <c r="M484">
        <v>4753.1000000000004</v>
      </c>
      <c r="N484">
        <v>65.541015709999996</v>
      </c>
    </row>
    <row r="485" spans="1:14" x14ac:dyDescent="0.45">
      <c r="A485" t="s">
        <v>564</v>
      </c>
      <c r="B485" t="s">
        <v>7</v>
      </c>
      <c r="C485" t="s">
        <v>394</v>
      </c>
      <c r="D485" t="s">
        <v>395</v>
      </c>
      <c r="E485" t="s">
        <v>9</v>
      </c>
      <c r="F485" t="s">
        <v>5</v>
      </c>
      <c r="G485">
        <v>1997</v>
      </c>
      <c r="H485">
        <v>7239.7</v>
      </c>
      <c r="I485">
        <v>0</v>
      </c>
      <c r="J485">
        <v>7239.7</v>
      </c>
      <c r="K485">
        <v>0</v>
      </c>
      <c r="L485">
        <v>0</v>
      </c>
      <c r="M485">
        <v>7239.7</v>
      </c>
      <c r="N485">
        <v>100</v>
      </c>
    </row>
    <row r="486" spans="1:14" x14ac:dyDescent="0.45">
      <c r="A486" t="s">
        <v>566</v>
      </c>
      <c r="B486" t="s">
        <v>1</v>
      </c>
      <c r="C486" t="s">
        <v>229</v>
      </c>
      <c r="D486" t="s">
        <v>11</v>
      </c>
      <c r="E486" t="s">
        <v>4</v>
      </c>
      <c r="F486" t="s">
        <v>5</v>
      </c>
      <c r="G486">
        <v>2018</v>
      </c>
      <c r="H486">
        <v>7209.6</v>
      </c>
      <c r="I486">
        <v>3303.8</v>
      </c>
      <c r="J486">
        <v>3905.7</v>
      </c>
      <c r="K486">
        <v>2183.8000000000002</v>
      </c>
      <c r="L486">
        <v>30.290168659999999</v>
      </c>
      <c r="M486">
        <v>5025.8</v>
      </c>
      <c r="N486">
        <v>69.709831339999994</v>
      </c>
    </row>
    <row r="487" spans="1:14" x14ac:dyDescent="0.45">
      <c r="A487" t="s">
        <v>565</v>
      </c>
      <c r="B487" t="s">
        <v>1</v>
      </c>
      <c r="C487" t="s">
        <v>8</v>
      </c>
      <c r="D487" t="s">
        <v>3</v>
      </c>
      <c r="E487" t="s">
        <v>4</v>
      </c>
      <c r="F487" t="s">
        <v>5</v>
      </c>
      <c r="G487">
        <v>2008</v>
      </c>
      <c r="H487">
        <v>7237.6</v>
      </c>
      <c r="I487">
        <v>0</v>
      </c>
      <c r="J487">
        <v>7237.6</v>
      </c>
      <c r="K487">
        <v>0</v>
      </c>
      <c r="L487">
        <v>0</v>
      </c>
      <c r="M487">
        <v>7237.6</v>
      </c>
      <c r="N487">
        <v>100</v>
      </c>
    </row>
    <row r="488" spans="1:14" x14ac:dyDescent="0.45">
      <c r="A488" t="s">
        <v>567</v>
      </c>
      <c r="B488" t="s">
        <v>1</v>
      </c>
      <c r="C488" t="s">
        <v>20</v>
      </c>
      <c r="D488" t="s">
        <v>3</v>
      </c>
      <c r="E488" t="s">
        <v>9</v>
      </c>
      <c r="F488" t="s">
        <v>5</v>
      </c>
      <c r="G488">
        <v>2016</v>
      </c>
      <c r="H488">
        <v>7192.6</v>
      </c>
      <c r="I488">
        <v>4689.2</v>
      </c>
      <c r="J488">
        <v>2505.3000000000002</v>
      </c>
      <c r="K488">
        <v>3982.2</v>
      </c>
      <c r="L488">
        <v>55.365236490000001</v>
      </c>
      <c r="M488">
        <v>3210.4</v>
      </c>
      <c r="N488">
        <v>44.634763509999999</v>
      </c>
    </row>
    <row r="489" spans="1:14" x14ac:dyDescent="0.45">
      <c r="A489" t="s">
        <v>568</v>
      </c>
      <c r="B489" t="s">
        <v>1</v>
      </c>
      <c r="C489" t="s">
        <v>32</v>
      </c>
      <c r="D489" t="s">
        <v>33</v>
      </c>
      <c r="E489" t="s">
        <v>34</v>
      </c>
      <c r="F489" t="s">
        <v>35</v>
      </c>
      <c r="G489">
        <v>2019</v>
      </c>
      <c r="H489">
        <v>7182.1</v>
      </c>
      <c r="I489">
        <v>6877.5</v>
      </c>
      <c r="J489">
        <v>304.7</v>
      </c>
      <c r="K489">
        <v>6118.4</v>
      </c>
      <c r="L489">
        <v>85.189568510000001</v>
      </c>
      <c r="M489">
        <v>1063.7</v>
      </c>
      <c r="N489">
        <v>14.810431489999999</v>
      </c>
    </row>
    <row r="490" spans="1:14" x14ac:dyDescent="0.45">
      <c r="A490" t="s">
        <v>569</v>
      </c>
      <c r="B490" t="s">
        <v>1</v>
      </c>
      <c r="C490" t="s">
        <v>76</v>
      </c>
      <c r="D490" t="s">
        <v>11</v>
      </c>
      <c r="E490" t="s">
        <v>77</v>
      </c>
      <c r="F490" t="s">
        <v>35</v>
      </c>
      <c r="G490">
        <v>2015</v>
      </c>
      <c r="H490">
        <v>7123.4</v>
      </c>
      <c r="I490">
        <v>5595.9</v>
      </c>
      <c r="J490">
        <v>1527.5</v>
      </c>
      <c r="K490">
        <v>3002</v>
      </c>
      <c r="L490">
        <v>42.14279698</v>
      </c>
      <c r="M490">
        <v>4121.3999999999996</v>
      </c>
      <c r="N490">
        <v>57.85720302</v>
      </c>
    </row>
    <row r="491" spans="1:14" x14ac:dyDescent="0.45">
      <c r="A491" t="s">
        <v>570</v>
      </c>
      <c r="B491" t="s">
        <v>1</v>
      </c>
      <c r="C491" t="s">
        <v>8</v>
      </c>
      <c r="D491" t="s">
        <v>3</v>
      </c>
      <c r="E491" t="s">
        <v>9</v>
      </c>
      <c r="F491" t="s">
        <v>5</v>
      </c>
      <c r="G491">
        <v>2007</v>
      </c>
      <c r="H491">
        <v>7114.1</v>
      </c>
      <c r="I491">
        <v>4400.3</v>
      </c>
      <c r="J491">
        <v>2716</v>
      </c>
      <c r="K491">
        <v>3.9</v>
      </c>
      <c r="L491">
        <v>5.4820708170000003E-2</v>
      </c>
      <c r="M491">
        <v>7110.2</v>
      </c>
      <c r="N491">
        <v>99.945179289999999</v>
      </c>
    </row>
    <row r="492" spans="1:14" x14ac:dyDescent="0.45">
      <c r="A492" t="s">
        <v>571</v>
      </c>
      <c r="B492" t="s">
        <v>1</v>
      </c>
      <c r="C492" t="s">
        <v>8</v>
      </c>
      <c r="D492" t="s">
        <v>3</v>
      </c>
      <c r="E492" t="s">
        <v>4</v>
      </c>
      <c r="F492" t="s">
        <v>5</v>
      </c>
      <c r="G492">
        <v>2010</v>
      </c>
      <c r="H492">
        <v>7073.7</v>
      </c>
      <c r="I492">
        <v>2882.3</v>
      </c>
      <c r="J492">
        <v>4191.3999999999996</v>
      </c>
      <c r="K492">
        <v>1158.3</v>
      </c>
      <c r="L492">
        <v>16.37474023</v>
      </c>
      <c r="M492">
        <v>5915.4</v>
      </c>
      <c r="N492">
        <v>83.62525977</v>
      </c>
    </row>
    <row r="493" spans="1:14" x14ac:dyDescent="0.45">
      <c r="A493" t="s">
        <v>572</v>
      </c>
      <c r="B493" t="s">
        <v>1</v>
      </c>
      <c r="C493" t="s">
        <v>8</v>
      </c>
      <c r="D493" t="s">
        <v>3</v>
      </c>
      <c r="E493" t="s">
        <v>4</v>
      </c>
      <c r="F493" t="s">
        <v>5</v>
      </c>
      <c r="G493">
        <v>2017</v>
      </c>
      <c r="H493">
        <v>7061.3</v>
      </c>
      <c r="I493">
        <v>7067.3</v>
      </c>
      <c r="J493">
        <v>0</v>
      </c>
      <c r="K493">
        <v>4346.8</v>
      </c>
      <c r="L493">
        <v>61.558070039999997</v>
      </c>
      <c r="M493">
        <v>2714.5</v>
      </c>
      <c r="N493">
        <v>38.441929960000003</v>
      </c>
    </row>
    <row r="494" spans="1:14" x14ac:dyDescent="0.45">
      <c r="A494" t="s">
        <v>573</v>
      </c>
      <c r="B494" t="s">
        <v>1</v>
      </c>
      <c r="C494" t="s">
        <v>76</v>
      </c>
      <c r="D494" t="s">
        <v>11</v>
      </c>
      <c r="E494" t="s">
        <v>69</v>
      </c>
      <c r="F494" t="s">
        <v>5</v>
      </c>
      <c r="G494">
        <v>1971</v>
      </c>
      <c r="H494">
        <v>7059.2</v>
      </c>
      <c r="I494">
        <v>6505.8</v>
      </c>
      <c r="J494">
        <v>557.1</v>
      </c>
      <c r="K494">
        <v>5676.3</v>
      </c>
      <c r="L494">
        <v>80.409961469999999</v>
      </c>
      <c r="M494">
        <v>1382.9</v>
      </c>
      <c r="N494">
        <v>19.590038530000001</v>
      </c>
    </row>
    <row r="495" spans="1:14" x14ac:dyDescent="0.45">
      <c r="A495" t="s">
        <v>574</v>
      </c>
      <c r="B495" t="s">
        <v>1</v>
      </c>
      <c r="C495" t="s">
        <v>76</v>
      </c>
      <c r="D495" t="s">
        <v>11</v>
      </c>
      <c r="E495" t="s">
        <v>69</v>
      </c>
      <c r="F495" t="s">
        <v>35</v>
      </c>
      <c r="G495">
        <v>1977</v>
      </c>
      <c r="H495">
        <v>7059.2</v>
      </c>
      <c r="I495">
        <v>6607.2</v>
      </c>
      <c r="J495">
        <v>446.9</v>
      </c>
      <c r="K495">
        <v>7059.2</v>
      </c>
      <c r="L495">
        <v>100</v>
      </c>
      <c r="M495">
        <v>0</v>
      </c>
      <c r="N495">
        <v>0</v>
      </c>
    </row>
    <row r="496" spans="1:14" x14ac:dyDescent="0.45">
      <c r="A496" t="s">
        <v>575</v>
      </c>
      <c r="B496" t="s">
        <v>1</v>
      </c>
      <c r="C496" t="s">
        <v>8</v>
      </c>
      <c r="D496" t="s">
        <v>3</v>
      </c>
      <c r="E496" t="s">
        <v>9</v>
      </c>
      <c r="F496" t="s">
        <v>5</v>
      </c>
      <c r="G496">
        <v>2002</v>
      </c>
      <c r="H496">
        <v>7048.5</v>
      </c>
      <c r="I496">
        <v>6851.4</v>
      </c>
      <c r="J496">
        <v>199.1</v>
      </c>
      <c r="K496">
        <v>5805</v>
      </c>
      <c r="L496">
        <v>82.357948500000006</v>
      </c>
      <c r="M496">
        <v>1243.5</v>
      </c>
      <c r="N496">
        <v>17.642051500000001</v>
      </c>
    </row>
    <row r="497" spans="1:14" x14ac:dyDescent="0.45">
      <c r="A497" t="s">
        <v>576</v>
      </c>
      <c r="B497" t="s">
        <v>1</v>
      </c>
      <c r="C497" t="s">
        <v>20</v>
      </c>
      <c r="D497" t="s">
        <v>3</v>
      </c>
      <c r="E497" t="s">
        <v>38</v>
      </c>
      <c r="F497" t="s">
        <v>35</v>
      </c>
      <c r="G497">
        <v>1979</v>
      </c>
      <c r="H497">
        <v>7034.1</v>
      </c>
      <c r="I497">
        <v>7035</v>
      </c>
      <c r="J497">
        <v>3.3</v>
      </c>
      <c r="K497">
        <v>6940.1</v>
      </c>
      <c r="L497">
        <v>98.663652780000007</v>
      </c>
      <c r="M497">
        <v>94</v>
      </c>
      <c r="N497">
        <v>1.336347223</v>
      </c>
    </row>
    <row r="498" spans="1:14" x14ac:dyDescent="0.45">
      <c r="A498" t="s">
        <v>577</v>
      </c>
      <c r="B498" t="s">
        <v>65</v>
      </c>
      <c r="C498" t="s">
        <v>8</v>
      </c>
      <c r="D498" t="s">
        <v>3</v>
      </c>
      <c r="E498" t="s">
        <v>9</v>
      </c>
      <c r="F498" t="s">
        <v>35</v>
      </c>
      <c r="G498">
        <v>2017</v>
      </c>
      <c r="H498">
        <v>7029.1</v>
      </c>
      <c r="I498">
        <v>5774.4</v>
      </c>
      <c r="J498">
        <v>1261.4000000000001</v>
      </c>
      <c r="K498">
        <v>5705.9</v>
      </c>
      <c r="L498">
        <v>81.175399409999997</v>
      </c>
      <c r="M498">
        <v>1323.2</v>
      </c>
      <c r="N498">
        <v>18.824600589999999</v>
      </c>
    </row>
    <row r="499" spans="1:14" x14ac:dyDescent="0.45">
      <c r="A499" t="s">
        <v>578</v>
      </c>
      <c r="B499" t="s">
        <v>1</v>
      </c>
      <c r="C499" t="s">
        <v>8</v>
      </c>
      <c r="D499" t="s">
        <v>3</v>
      </c>
      <c r="E499" t="s">
        <v>579</v>
      </c>
      <c r="F499" t="s">
        <v>35</v>
      </c>
      <c r="G499">
        <v>1997</v>
      </c>
      <c r="H499">
        <v>7018.9</v>
      </c>
      <c r="I499">
        <v>7018.4</v>
      </c>
      <c r="J499">
        <v>5.4</v>
      </c>
      <c r="K499">
        <v>6806</v>
      </c>
      <c r="L499">
        <v>96.966761169999998</v>
      </c>
      <c r="M499">
        <v>212.9</v>
      </c>
      <c r="N499">
        <v>3.0332388269999999</v>
      </c>
    </row>
    <row r="500" spans="1:14" x14ac:dyDescent="0.45">
      <c r="A500" t="s">
        <v>580</v>
      </c>
      <c r="B500" t="s">
        <v>1</v>
      </c>
      <c r="C500" t="s">
        <v>8</v>
      </c>
      <c r="D500" t="s">
        <v>3</v>
      </c>
      <c r="E500" t="s">
        <v>278</v>
      </c>
      <c r="F500" t="s">
        <v>35</v>
      </c>
      <c r="G500">
        <v>1994</v>
      </c>
      <c r="H500">
        <v>6976.4</v>
      </c>
      <c r="I500">
        <v>4188.3999999999996</v>
      </c>
      <c r="J500">
        <v>2798.5</v>
      </c>
      <c r="K500">
        <v>6414.9</v>
      </c>
      <c r="L500">
        <v>91.951436270000002</v>
      </c>
      <c r="M500">
        <v>561.5</v>
      </c>
      <c r="N500">
        <v>8.0485637289999996</v>
      </c>
    </row>
    <row r="501" spans="1:14" x14ac:dyDescent="0.45">
      <c r="A501" t="s">
        <v>581</v>
      </c>
      <c r="B501" t="s">
        <v>1</v>
      </c>
      <c r="C501" t="s">
        <v>8</v>
      </c>
      <c r="D501" t="s">
        <v>11</v>
      </c>
      <c r="E501" t="s">
        <v>12</v>
      </c>
      <c r="F501" t="s">
        <v>5</v>
      </c>
      <c r="G501">
        <v>2017</v>
      </c>
      <c r="H501">
        <v>6972</v>
      </c>
      <c r="I501">
        <v>6956</v>
      </c>
      <c r="J501">
        <v>20.3</v>
      </c>
      <c r="K501">
        <v>1876.2</v>
      </c>
      <c r="L501">
        <v>26.910499139999999</v>
      </c>
      <c r="M501">
        <v>5095.8</v>
      </c>
      <c r="N501">
        <v>73.089500860000001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AC5D-0DEC-4352-B498-02A7F721B016}">
  <dimension ref="A1:O1008"/>
  <sheetViews>
    <sheetView workbookViewId="0">
      <selection activeCell="N23" sqref="N23"/>
    </sheetView>
  </sheetViews>
  <sheetFormatPr defaultRowHeight="14.25" x14ac:dyDescent="0.45"/>
  <cols>
    <col min="1" max="1" width="39.53125" style="2" bestFit="1" customWidth="1"/>
    <col min="2" max="2" width="12.06640625" style="2" customWidth="1"/>
    <col min="3" max="3" width="19.19921875" style="2" bestFit="1" customWidth="1"/>
    <col min="4" max="4" width="19.59765625" style="2" bestFit="1" customWidth="1"/>
    <col min="5" max="5" width="16.796875" style="2" bestFit="1" customWidth="1"/>
    <col min="6" max="6" width="14.46484375" style="2" bestFit="1" customWidth="1"/>
    <col min="7" max="7" width="12" style="2" bestFit="1" customWidth="1"/>
    <col min="8" max="8" width="24.33203125" style="2" bestFit="1" customWidth="1"/>
    <col min="9" max="9" width="26.265625" style="2" bestFit="1" customWidth="1"/>
    <col min="10" max="10" width="26.46484375" style="2" bestFit="1" customWidth="1"/>
    <col min="11" max="11" width="9.06640625" style="2"/>
    <col min="12" max="12" width="39.53125" style="2" bestFit="1" customWidth="1"/>
    <col min="13" max="13" width="28.3984375" style="2" bestFit="1" customWidth="1"/>
    <col min="14" max="16384" width="9.06640625" style="2"/>
  </cols>
  <sheetData>
    <row r="1" spans="1:15" s="1" customFormat="1" x14ac:dyDescent="0.45">
      <c r="A1" s="1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</row>
    <row r="2" spans="1:15" x14ac:dyDescent="0.45">
      <c r="A2" s="2" t="s">
        <v>131</v>
      </c>
      <c r="B2" s="2" t="s">
        <v>1</v>
      </c>
      <c r="C2" s="2" t="s">
        <v>8</v>
      </c>
      <c r="D2" s="2" t="s">
        <v>3</v>
      </c>
      <c r="E2" s="2" t="s">
        <v>4</v>
      </c>
      <c r="F2" s="2" t="s">
        <v>35</v>
      </c>
      <c r="G2" s="2">
        <v>2014</v>
      </c>
      <c r="H2" s="2">
        <v>21202.3</v>
      </c>
      <c r="I2" s="2">
        <v>20357.3</v>
      </c>
      <c r="J2" s="2">
        <v>851.6</v>
      </c>
    </row>
    <row r="3" spans="1:15" x14ac:dyDescent="0.45">
      <c r="A3" s="2" t="s">
        <v>251</v>
      </c>
      <c r="B3" s="2" t="s">
        <v>1</v>
      </c>
      <c r="C3" s="2" t="s">
        <v>8</v>
      </c>
      <c r="D3" s="2" t="s">
        <v>3</v>
      </c>
      <c r="E3" s="2" t="s">
        <v>4</v>
      </c>
      <c r="F3" s="2" t="s">
        <v>5</v>
      </c>
      <c r="G3" s="2">
        <v>2007</v>
      </c>
      <c r="H3" s="2">
        <v>13978.6</v>
      </c>
      <c r="I3" s="2">
        <v>4090.4</v>
      </c>
      <c r="J3" s="2">
        <v>9888.1</v>
      </c>
    </row>
    <row r="4" spans="1:15" x14ac:dyDescent="0.45">
      <c r="A4" s="2" t="s">
        <v>55</v>
      </c>
      <c r="B4" s="2" t="s">
        <v>1</v>
      </c>
      <c r="C4" s="2" t="s">
        <v>20</v>
      </c>
      <c r="D4" s="2" t="s">
        <v>3</v>
      </c>
      <c r="E4" s="2" t="s">
        <v>4</v>
      </c>
      <c r="F4" s="2" t="s">
        <v>5</v>
      </c>
      <c r="G4" s="2">
        <v>2014</v>
      </c>
      <c r="H4" s="2">
        <v>39024.300000000003</v>
      </c>
      <c r="I4" s="2">
        <v>15878</v>
      </c>
      <c r="J4" s="2">
        <v>23155.599999999999</v>
      </c>
    </row>
    <row r="5" spans="1:15" x14ac:dyDescent="0.45">
      <c r="A5" s="2" t="s">
        <v>245</v>
      </c>
      <c r="B5" s="2" t="s">
        <v>1</v>
      </c>
      <c r="C5" s="2" t="s">
        <v>8</v>
      </c>
      <c r="D5" s="2" t="s">
        <v>3</v>
      </c>
      <c r="E5" s="2" t="s">
        <v>4</v>
      </c>
      <c r="F5" s="2" t="s">
        <v>5</v>
      </c>
      <c r="G5" s="2">
        <v>1991</v>
      </c>
      <c r="H5" s="2">
        <v>14116.7</v>
      </c>
      <c r="I5" s="2">
        <v>13659.9</v>
      </c>
      <c r="J5" s="2">
        <v>462.4</v>
      </c>
    </row>
    <row r="6" spans="1:15" x14ac:dyDescent="0.45">
      <c r="A6" s="2" t="s">
        <v>287</v>
      </c>
      <c r="B6" s="2" t="s">
        <v>1</v>
      </c>
      <c r="C6" s="2" t="s">
        <v>81</v>
      </c>
      <c r="D6" s="2" t="s">
        <v>3</v>
      </c>
      <c r="E6" s="2" t="s">
        <v>38</v>
      </c>
      <c r="F6" s="2" t="s">
        <v>35</v>
      </c>
      <c r="G6" s="2">
        <v>2011</v>
      </c>
      <c r="H6" s="2">
        <v>12788.3</v>
      </c>
      <c r="I6" s="2">
        <v>12025.6</v>
      </c>
      <c r="J6" s="2">
        <v>766.3</v>
      </c>
    </row>
    <row r="7" spans="1:15" x14ac:dyDescent="0.45">
      <c r="A7" s="2" t="s">
        <v>139</v>
      </c>
      <c r="B7" s="2" t="s">
        <v>1</v>
      </c>
      <c r="C7" s="2" t="s">
        <v>8</v>
      </c>
      <c r="D7" s="2" t="s">
        <v>3</v>
      </c>
      <c r="E7" s="2" t="s">
        <v>4</v>
      </c>
      <c r="F7" s="2" t="s">
        <v>5</v>
      </c>
      <c r="G7" s="2">
        <v>2003</v>
      </c>
      <c r="H7" s="2">
        <v>20444.599999999999</v>
      </c>
      <c r="I7" s="2">
        <v>14112.2</v>
      </c>
      <c r="J7" s="2">
        <v>6342</v>
      </c>
      <c r="L7"/>
      <c r="M7"/>
      <c r="N7"/>
    </row>
    <row r="8" spans="1:15" x14ac:dyDescent="0.45">
      <c r="A8" s="2" t="s">
        <v>480</v>
      </c>
      <c r="B8" s="2" t="s">
        <v>1</v>
      </c>
      <c r="C8" s="2" t="s">
        <v>8</v>
      </c>
      <c r="D8" s="2" t="s">
        <v>3</v>
      </c>
      <c r="E8" s="2" t="s">
        <v>4</v>
      </c>
      <c r="F8" s="2" t="s">
        <v>5</v>
      </c>
      <c r="G8" s="2">
        <v>2017</v>
      </c>
      <c r="H8" s="2">
        <v>8240.2000000000007</v>
      </c>
      <c r="I8" s="2">
        <v>6845.4</v>
      </c>
      <c r="J8" s="2">
        <v>1394.8</v>
      </c>
      <c r="L8"/>
      <c r="M8"/>
      <c r="N8"/>
    </row>
    <row r="9" spans="1:15" x14ac:dyDescent="0.45">
      <c r="A9" s="2" t="s">
        <v>516</v>
      </c>
      <c r="B9" s="2" t="s">
        <v>1</v>
      </c>
      <c r="C9" s="2" t="s">
        <v>8</v>
      </c>
      <c r="D9" s="2" t="s">
        <v>3</v>
      </c>
      <c r="E9" s="2" t="s">
        <v>14</v>
      </c>
      <c r="F9" s="2" t="s">
        <v>5</v>
      </c>
      <c r="G9" s="2">
        <v>2016</v>
      </c>
      <c r="H9" s="2">
        <v>7810.5</v>
      </c>
      <c r="I9" s="2">
        <v>3575.2</v>
      </c>
      <c r="J9" s="2">
        <v>4235.2</v>
      </c>
      <c r="L9"/>
      <c r="M9"/>
      <c r="N9"/>
    </row>
    <row r="10" spans="1:15" ht="19.149999999999999" customHeight="1" x14ac:dyDescent="0.45">
      <c r="A10" s="2" t="s">
        <v>188</v>
      </c>
      <c r="B10" s="2" t="s">
        <v>1</v>
      </c>
      <c r="C10" s="2" t="s">
        <v>8</v>
      </c>
      <c r="D10" s="2" t="s">
        <v>3</v>
      </c>
      <c r="E10" s="2" t="s">
        <v>4</v>
      </c>
      <c r="F10" s="2" t="s">
        <v>5</v>
      </c>
      <c r="G10" s="2">
        <v>2016</v>
      </c>
      <c r="H10" s="2">
        <v>16877.3</v>
      </c>
      <c r="I10" s="2">
        <v>11425.9</v>
      </c>
      <c r="J10" s="2">
        <v>5455.1</v>
      </c>
      <c r="L10"/>
      <c r="M10"/>
      <c r="N10"/>
    </row>
    <row r="11" spans="1:15" x14ac:dyDescent="0.45">
      <c r="A11" s="2" t="s">
        <v>119</v>
      </c>
      <c r="B11" s="2" t="s">
        <v>1</v>
      </c>
      <c r="C11" s="2" t="s">
        <v>8</v>
      </c>
      <c r="D11" s="2" t="s">
        <v>3</v>
      </c>
      <c r="E11" s="2" t="s">
        <v>4</v>
      </c>
      <c r="F11" s="2" t="s">
        <v>5</v>
      </c>
      <c r="G11" s="2">
        <v>2011</v>
      </c>
      <c r="H11" s="2">
        <v>24217.200000000001</v>
      </c>
      <c r="I11" s="2">
        <v>14721.3</v>
      </c>
      <c r="J11" s="2">
        <v>9504.2999999999993</v>
      </c>
      <c r="L11"/>
      <c r="M11"/>
      <c r="N11"/>
    </row>
    <row r="12" spans="1:15" x14ac:dyDescent="0.45">
      <c r="A12" s="2" t="s">
        <v>218</v>
      </c>
      <c r="B12" s="2" t="s">
        <v>1</v>
      </c>
      <c r="C12" s="2" t="s">
        <v>58</v>
      </c>
      <c r="D12" s="2" t="s">
        <v>219</v>
      </c>
      <c r="E12" s="2" t="s">
        <v>60</v>
      </c>
      <c r="F12" s="2" t="s">
        <v>5</v>
      </c>
      <c r="G12" s="2">
        <v>1992</v>
      </c>
      <c r="H12" s="2">
        <v>15240.4</v>
      </c>
      <c r="I12" s="2">
        <v>10857.5</v>
      </c>
      <c r="J12" s="2">
        <v>4397.5</v>
      </c>
      <c r="L12"/>
      <c r="M12"/>
      <c r="N12"/>
    </row>
    <row r="13" spans="1:15" x14ac:dyDescent="0.45">
      <c r="A13" s="2" t="s">
        <v>280</v>
      </c>
      <c r="B13" s="2" t="s">
        <v>65</v>
      </c>
      <c r="C13" s="2" t="s">
        <v>134</v>
      </c>
      <c r="D13" s="2" t="s">
        <v>3</v>
      </c>
      <c r="E13" s="2" t="s">
        <v>9</v>
      </c>
      <c r="F13" s="2" t="s">
        <v>35</v>
      </c>
      <c r="G13" s="2">
        <v>1972</v>
      </c>
      <c r="H13" s="2">
        <v>12992.2</v>
      </c>
      <c r="I13" s="2">
        <v>10479.5</v>
      </c>
      <c r="J13" s="2">
        <v>2516.3000000000002</v>
      </c>
      <c r="L13"/>
      <c r="M13"/>
      <c r="N13"/>
    </row>
    <row r="14" spans="1:15" x14ac:dyDescent="0.45">
      <c r="A14" s="2" t="s">
        <v>184</v>
      </c>
      <c r="B14" s="2" t="s">
        <v>1</v>
      </c>
      <c r="C14" s="2" t="s">
        <v>81</v>
      </c>
      <c r="D14" s="2" t="s">
        <v>3</v>
      </c>
      <c r="E14" s="2" t="s">
        <v>38</v>
      </c>
      <c r="F14" s="2" t="s">
        <v>35</v>
      </c>
      <c r="G14" s="2">
        <v>1975</v>
      </c>
      <c r="H14" s="2">
        <v>17010.5</v>
      </c>
      <c r="I14" s="2">
        <v>17018</v>
      </c>
      <c r="J14" s="2">
        <v>0</v>
      </c>
      <c r="L14"/>
      <c r="M14"/>
      <c r="N14"/>
    </row>
    <row r="15" spans="1:15" x14ac:dyDescent="0.45">
      <c r="A15" s="2" t="s">
        <v>95</v>
      </c>
      <c r="B15" s="2" t="s">
        <v>7</v>
      </c>
      <c r="C15" s="2" t="s">
        <v>20</v>
      </c>
      <c r="D15" s="2" t="s">
        <v>3</v>
      </c>
      <c r="E15" s="2" t="s">
        <v>9</v>
      </c>
      <c r="F15" s="2" t="s">
        <v>5</v>
      </c>
      <c r="G15" s="2">
        <v>2008</v>
      </c>
      <c r="H15" s="2">
        <v>28690.5</v>
      </c>
      <c r="I15" s="2">
        <v>28699.5</v>
      </c>
      <c r="J15" s="2">
        <v>0</v>
      </c>
      <c r="L15"/>
      <c r="M15"/>
      <c r="N15"/>
    </row>
    <row r="16" spans="1:15" x14ac:dyDescent="0.45">
      <c r="A16" s="2" t="s">
        <v>485</v>
      </c>
      <c r="B16" s="2" t="s">
        <v>65</v>
      </c>
      <c r="C16" s="2" t="s">
        <v>8</v>
      </c>
      <c r="D16" s="2" t="s">
        <v>3</v>
      </c>
      <c r="E16" s="2" t="s">
        <v>38</v>
      </c>
      <c r="F16" s="2" t="s">
        <v>35</v>
      </c>
      <c r="G16" s="2">
        <v>1973</v>
      </c>
      <c r="H16" s="2">
        <v>8200.1</v>
      </c>
      <c r="I16" s="2">
        <v>7224.1</v>
      </c>
      <c r="J16" s="2">
        <v>979.3</v>
      </c>
      <c r="L16"/>
      <c r="M16"/>
      <c r="N16"/>
      <c r="O16"/>
    </row>
    <row r="17" spans="1:15" ht="14.65" thickBot="1" x14ac:dyDescent="0.5">
      <c r="A17" s="2" t="s">
        <v>182</v>
      </c>
      <c r="B17" s="2" t="s">
        <v>1</v>
      </c>
      <c r="C17" s="2" t="s">
        <v>183</v>
      </c>
      <c r="D17" s="2" t="s">
        <v>3</v>
      </c>
      <c r="E17" s="2" t="s">
        <v>14</v>
      </c>
      <c r="F17" s="2" t="s">
        <v>5</v>
      </c>
      <c r="G17" s="2">
        <v>2004</v>
      </c>
      <c r="H17" s="2">
        <v>17056</v>
      </c>
      <c r="I17" s="2">
        <v>8007.4</v>
      </c>
      <c r="J17" s="2">
        <v>9059.5</v>
      </c>
      <c r="L17"/>
      <c r="M17"/>
      <c r="N17"/>
      <c r="O17"/>
    </row>
    <row r="18" spans="1:15" ht="14.65" thickTop="1" x14ac:dyDescent="0.45">
      <c r="A18" s="2" t="s">
        <v>187</v>
      </c>
      <c r="B18" s="2" t="s">
        <v>1</v>
      </c>
      <c r="C18" s="2" t="s">
        <v>147</v>
      </c>
      <c r="D18" s="2" t="s">
        <v>3</v>
      </c>
      <c r="E18" s="2" t="s">
        <v>47</v>
      </c>
      <c r="F18" s="2" t="s">
        <v>5</v>
      </c>
      <c r="G18" s="2">
        <v>2014</v>
      </c>
      <c r="H18" s="2">
        <v>16893.400000000001</v>
      </c>
      <c r="I18" s="2">
        <v>13879.3</v>
      </c>
      <c r="J18" s="2">
        <v>3019.1</v>
      </c>
      <c r="L18"/>
      <c r="M18" s="21" t="s">
        <v>613</v>
      </c>
      <c r="N18" s="29" t="s">
        <v>614</v>
      </c>
      <c r="O18"/>
    </row>
    <row r="19" spans="1:15" x14ac:dyDescent="0.45">
      <c r="A19" s="2" t="s">
        <v>451</v>
      </c>
      <c r="B19" s="2" t="s">
        <v>1</v>
      </c>
      <c r="C19" s="2" t="s">
        <v>76</v>
      </c>
      <c r="D19" s="2" t="s">
        <v>11</v>
      </c>
      <c r="E19" s="2" t="s">
        <v>69</v>
      </c>
      <c r="F19" s="2" t="s">
        <v>5</v>
      </c>
      <c r="G19" s="2">
        <v>1992</v>
      </c>
      <c r="H19" s="2">
        <v>8617.1</v>
      </c>
      <c r="I19" s="2">
        <v>7717.5</v>
      </c>
      <c r="J19" s="2">
        <v>899.6</v>
      </c>
      <c r="L19"/>
      <c r="M19" s="5" t="s">
        <v>606</v>
      </c>
      <c r="N19" s="5">
        <f>AVERAGE(I15,Table3[Total Streams (in millions)])</f>
        <v>16841.326546906192</v>
      </c>
      <c r="O19"/>
    </row>
    <row r="20" spans="1:15" x14ac:dyDescent="0.45">
      <c r="A20" s="2" t="s">
        <v>413</v>
      </c>
      <c r="B20" s="2" t="s">
        <v>1</v>
      </c>
      <c r="C20" s="2" t="s">
        <v>229</v>
      </c>
      <c r="D20" s="2" t="s">
        <v>11</v>
      </c>
      <c r="E20" s="2" t="s">
        <v>69</v>
      </c>
      <c r="F20" s="2" t="s">
        <v>5</v>
      </c>
      <c r="G20" s="2">
        <v>1989</v>
      </c>
      <c r="H20" s="2">
        <v>9340.1</v>
      </c>
      <c r="I20" s="2">
        <v>6691.7</v>
      </c>
      <c r="J20" s="2">
        <v>2658.2</v>
      </c>
      <c r="L20"/>
      <c r="M20" s="5" t="s">
        <v>607</v>
      </c>
      <c r="N20" s="5">
        <f>MIN(I15,Table3[Total Streams (in millions)])</f>
        <v>6972</v>
      </c>
      <c r="O20"/>
    </row>
    <row r="21" spans="1:15" x14ac:dyDescent="0.45">
      <c r="A21" s="2" t="s">
        <v>376</v>
      </c>
      <c r="B21" s="2" t="s">
        <v>7</v>
      </c>
      <c r="C21" s="2" t="s">
        <v>2</v>
      </c>
      <c r="D21" s="2" t="s">
        <v>3</v>
      </c>
      <c r="E21" s="2" t="s">
        <v>9</v>
      </c>
      <c r="F21" s="2" t="s">
        <v>5</v>
      </c>
      <c r="G21" s="2">
        <v>2015</v>
      </c>
      <c r="H21" s="2">
        <v>10179.299999999999</v>
      </c>
      <c r="I21" s="2">
        <v>6431.1</v>
      </c>
      <c r="J21" s="2">
        <v>3750.4</v>
      </c>
      <c r="L21"/>
      <c r="M21" s="5" t="s">
        <v>608</v>
      </c>
      <c r="N21" s="5">
        <f>MAX(Table3[Total Streams (in millions)])</f>
        <v>137492.1</v>
      </c>
      <c r="O21"/>
    </row>
    <row r="22" spans="1:15" x14ac:dyDescent="0.45">
      <c r="A22" s="2" t="s">
        <v>519</v>
      </c>
      <c r="B22" s="2" t="s">
        <v>1</v>
      </c>
      <c r="C22" s="2" t="s">
        <v>134</v>
      </c>
      <c r="D22" s="2" t="s">
        <v>3</v>
      </c>
      <c r="E22" s="2" t="s">
        <v>47</v>
      </c>
      <c r="F22" s="2" t="s">
        <v>5</v>
      </c>
      <c r="G22" s="2">
        <v>2010</v>
      </c>
      <c r="H22" s="2">
        <v>7765.7</v>
      </c>
      <c r="I22" s="2">
        <v>4434.2</v>
      </c>
      <c r="J22" s="2">
        <v>3331.5</v>
      </c>
      <c r="L22"/>
      <c r="M22" s="5" t="s">
        <v>605</v>
      </c>
      <c r="N22" s="5">
        <f>SUM(Table23[Total Streams (in millions)])</f>
        <v>8408805.1000000015</v>
      </c>
      <c r="O22"/>
    </row>
    <row r="23" spans="1:15" x14ac:dyDescent="0.45">
      <c r="A23" s="2" t="s">
        <v>432</v>
      </c>
      <c r="B23" s="2" t="s">
        <v>1</v>
      </c>
      <c r="C23" s="2" t="s">
        <v>76</v>
      </c>
      <c r="D23" s="2" t="s">
        <v>11</v>
      </c>
      <c r="E23" s="2" t="s">
        <v>77</v>
      </c>
      <c r="F23" s="2" t="s">
        <v>5</v>
      </c>
      <c r="G23" s="2">
        <v>2011</v>
      </c>
      <c r="H23" s="2">
        <v>8916</v>
      </c>
      <c r="I23" s="2">
        <v>8080</v>
      </c>
      <c r="J23" s="2">
        <v>844.9</v>
      </c>
      <c r="L23"/>
      <c r="M23" s="5" t="s">
        <v>615</v>
      </c>
      <c r="N23" s="5">
        <f>COUNTA(Table23[Artist Name])</f>
        <v>500</v>
      </c>
      <c r="O23"/>
    </row>
    <row r="24" spans="1:15" x14ac:dyDescent="0.45">
      <c r="A24" s="2" t="s">
        <v>304</v>
      </c>
      <c r="B24" s="2" t="s">
        <v>7</v>
      </c>
      <c r="C24" s="2" t="s">
        <v>8</v>
      </c>
      <c r="D24" s="2" t="s">
        <v>3</v>
      </c>
      <c r="E24" s="2" t="s">
        <v>14</v>
      </c>
      <c r="F24" s="2" t="s">
        <v>5</v>
      </c>
      <c r="G24" s="2">
        <v>2001</v>
      </c>
      <c r="H24" s="2">
        <v>12099.6</v>
      </c>
      <c r="I24" s="2">
        <v>8350.5</v>
      </c>
      <c r="J24" s="2">
        <v>3754.7</v>
      </c>
      <c r="L24"/>
      <c r="M24"/>
      <c r="N24"/>
    </row>
    <row r="25" spans="1:15" x14ac:dyDescent="0.45">
      <c r="A25" s="2" t="s">
        <v>428</v>
      </c>
      <c r="B25" s="2" t="s">
        <v>7</v>
      </c>
      <c r="C25" s="2" t="s">
        <v>58</v>
      </c>
      <c r="D25" s="2" t="s">
        <v>59</v>
      </c>
      <c r="E25" s="2" t="s">
        <v>60</v>
      </c>
      <c r="F25" s="2" t="s">
        <v>5</v>
      </c>
      <c r="G25" s="2">
        <v>1980</v>
      </c>
      <c r="H25" s="2">
        <v>8988.2000000000007</v>
      </c>
      <c r="I25" s="2">
        <v>2897.2</v>
      </c>
      <c r="J25" s="2">
        <v>6102.8</v>
      </c>
      <c r="L25"/>
      <c r="M25"/>
    </row>
    <row r="26" spans="1:15" x14ac:dyDescent="0.45">
      <c r="A26" s="2" t="s">
        <v>382</v>
      </c>
      <c r="B26" s="2" t="s">
        <v>1</v>
      </c>
      <c r="C26" s="2" t="s">
        <v>153</v>
      </c>
      <c r="D26" s="2" t="s">
        <v>154</v>
      </c>
      <c r="E26" s="2" t="s">
        <v>47</v>
      </c>
      <c r="F26" s="2" t="s">
        <v>5</v>
      </c>
      <c r="G26" s="2">
        <v>2004</v>
      </c>
      <c r="H26" s="2">
        <v>10115.700000000001</v>
      </c>
      <c r="I26" s="2">
        <v>9351.5</v>
      </c>
      <c r="J26" s="2">
        <v>766.2</v>
      </c>
      <c r="L26"/>
      <c r="M26"/>
    </row>
    <row r="27" spans="1:15" x14ac:dyDescent="0.45">
      <c r="A27" s="2" t="s">
        <v>303</v>
      </c>
      <c r="B27" s="2" t="s">
        <v>1</v>
      </c>
      <c r="C27" s="2" t="s">
        <v>58</v>
      </c>
      <c r="D27" s="2" t="s">
        <v>59</v>
      </c>
      <c r="E27" s="2" t="s">
        <v>60</v>
      </c>
      <c r="F27" s="2" t="s">
        <v>5</v>
      </c>
      <c r="G27" s="2">
        <v>2008</v>
      </c>
      <c r="H27" s="2">
        <v>12136.7</v>
      </c>
      <c r="I27" s="2">
        <v>8.4</v>
      </c>
      <c r="J27" s="2">
        <v>12135.9</v>
      </c>
      <c r="L27"/>
      <c r="M27"/>
    </row>
    <row r="28" spans="1:15" x14ac:dyDescent="0.45">
      <c r="A28" s="2" t="s">
        <v>441</v>
      </c>
      <c r="B28" s="2" t="s">
        <v>7</v>
      </c>
      <c r="C28" s="2" t="s">
        <v>20</v>
      </c>
      <c r="D28" s="2" t="s">
        <v>3</v>
      </c>
      <c r="E28" s="2" t="s">
        <v>442</v>
      </c>
      <c r="F28" s="2" t="s">
        <v>5</v>
      </c>
      <c r="G28" s="2">
        <v>2003</v>
      </c>
      <c r="H28" s="2">
        <v>8780.4</v>
      </c>
      <c r="I28" s="2">
        <v>8238.2000000000007</v>
      </c>
      <c r="J28" s="2">
        <v>547.70000000000005</v>
      </c>
      <c r="L28"/>
      <c r="M28"/>
    </row>
    <row r="29" spans="1:15" x14ac:dyDescent="0.45">
      <c r="A29" s="2" t="s">
        <v>542</v>
      </c>
      <c r="B29" s="2" t="s">
        <v>7</v>
      </c>
      <c r="C29" s="2" t="s">
        <v>153</v>
      </c>
      <c r="D29" s="2" t="s">
        <v>154</v>
      </c>
      <c r="E29" s="2" t="s">
        <v>155</v>
      </c>
      <c r="F29" s="2" t="s">
        <v>5</v>
      </c>
      <c r="G29" s="2">
        <v>2021</v>
      </c>
      <c r="H29" s="2">
        <v>7467.3</v>
      </c>
      <c r="I29" s="2">
        <v>7464.6</v>
      </c>
      <c r="J29" s="2">
        <v>26</v>
      </c>
      <c r="L29"/>
      <c r="M29"/>
    </row>
    <row r="30" spans="1:15" x14ac:dyDescent="0.45">
      <c r="A30" s="2" t="s">
        <v>405</v>
      </c>
      <c r="B30" s="2" t="s">
        <v>1</v>
      </c>
      <c r="C30" s="2" t="s">
        <v>8</v>
      </c>
      <c r="D30" s="2" t="s">
        <v>3</v>
      </c>
      <c r="E30" s="2" t="s">
        <v>14</v>
      </c>
      <c r="F30" s="2" t="s">
        <v>5</v>
      </c>
      <c r="G30" s="2">
        <v>2014</v>
      </c>
      <c r="H30" s="2">
        <v>9513.7000000000007</v>
      </c>
      <c r="I30" s="2">
        <v>9454.2999999999993</v>
      </c>
      <c r="J30" s="2">
        <v>63.4</v>
      </c>
      <c r="L30"/>
      <c r="M30"/>
    </row>
    <row r="31" spans="1:15" x14ac:dyDescent="0.45">
      <c r="A31" s="2" t="s">
        <v>225</v>
      </c>
      <c r="B31" s="2" t="s">
        <v>1</v>
      </c>
      <c r="C31" s="2" t="s">
        <v>58</v>
      </c>
      <c r="D31" s="2" t="s">
        <v>219</v>
      </c>
      <c r="E31" s="2" t="s">
        <v>60</v>
      </c>
      <c r="F31" s="2" t="s">
        <v>5</v>
      </c>
      <c r="G31" s="2">
        <v>2012</v>
      </c>
      <c r="H31" s="2">
        <v>14897.8</v>
      </c>
      <c r="I31" s="2">
        <v>12456.5</v>
      </c>
      <c r="J31" s="2">
        <v>2450</v>
      </c>
      <c r="L31"/>
      <c r="M31"/>
    </row>
    <row r="32" spans="1:15" x14ac:dyDescent="0.45">
      <c r="A32" s="2" t="s">
        <v>214</v>
      </c>
      <c r="B32" s="2" t="s">
        <v>7</v>
      </c>
      <c r="C32" s="2" t="s">
        <v>153</v>
      </c>
      <c r="D32" s="2" t="s">
        <v>154</v>
      </c>
      <c r="E32" s="2" t="s">
        <v>9</v>
      </c>
      <c r="F32" s="2" t="s">
        <v>5</v>
      </c>
      <c r="G32" s="2">
        <v>2012</v>
      </c>
      <c r="H32" s="2">
        <v>15525.6</v>
      </c>
      <c r="I32" s="2">
        <v>11131.7</v>
      </c>
      <c r="J32" s="2">
        <v>4374.8</v>
      </c>
      <c r="L32"/>
      <c r="M32"/>
    </row>
    <row r="33" spans="1:13" x14ac:dyDescent="0.45">
      <c r="A33" s="2" t="s">
        <v>295</v>
      </c>
      <c r="B33" s="2" t="s">
        <v>7</v>
      </c>
      <c r="C33" s="2" t="s">
        <v>20</v>
      </c>
      <c r="D33" s="2" t="s">
        <v>3</v>
      </c>
      <c r="E33" s="2" t="s">
        <v>9</v>
      </c>
      <c r="F33" s="2" t="s">
        <v>5</v>
      </c>
      <c r="G33" s="2">
        <v>2013</v>
      </c>
      <c r="H33" s="2">
        <v>12593</v>
      </c>
      <c r="I33" s="2">
        <v>12542.7</v>
      </c>
      <c r="J33" s="2">
        <v>29.5</v>
      </c>
      <c r="L33"/>
      <c r="M33"/>
    </row>
    <row r="34" spans="1:13" x14ac:dyDescent="0.45">
      <c r="A34" s="2" t="s">
        <v>51</v>
      </c>
      <c r="B34" s="2" t="s">
        <v>1</v>
      </c>
      <c r="C34" s="2" t="s">
        <v>8</v>
      </c>
      <c r="D34" s="2" t="s">
        <v>11</v>
      </c>
      <c r="E34" s="2" t="s">
        <v>12</v>
      </c>
      <c r="F34" s="2" t="s">
        <v>5</v>
      </c>
      <c r="G34" s="2">
        <v>2011</v>
      </c>
      <c r="H34" s="2">
        <v>40453.300000000003</v>
      </c>
      <c r="I34" s="2">
        <v>18355.599999999999</v>
      </c>
      <c r="J34" s="2">
        <v>22118.9</v>
      </c>
      <c r="L34"/>
      <c r="M34"/>
    </row>
    <row r="35" spans="1:13" x14ac:dyDescent="0.45">
      <c r="A35" s="2" t="s">
        <v>127</v>
      </c>
      <c r="B35" s="2" t="s">
        <v>1</v>
      </c>
      <c r="C35" s="2" t="s">
        <v>8</v>
      </c>
      <c r="D35" s="2" t="s">
        <v>11</v>
      </c>
      <c r="E35" s="2" t="s">
        <v>12</v>
      </c>
      <c r="F35" s="2" t="s">
        <v>5</v>
      </c>
      <c r="G35" s="2">
        <v>2004</v>
      </c>
      <c r="H35" s="2">
        <v>21937.3</v>
      </c>
      <c r="I35" s="2">
        <v>8927.4</v>
      </c>
      <c r="J35" s="2">
        <v>13023.3</v>
      </c>
      <c r="L35"/>
      <c r="M35"/>
    </row>
    <row r="36" spans="1:13" x14ac:dyDescent="0.45">
      <c r="A36" s="2" t="s">
        <v>99</v>
      </c>
      <c r="B36" s="2" t="s">
        <v>1</v>
      </c>
      <c r="C36" s="2" t="s">
        <v>20</v>
      </c>
      <c r="D36" s="2" t="s">
        <v>3</v>
      </c>
      <c r="E36" s="2" t="s">
        <v>38</v>
      </c>
      <c r="F36" s="2" t="s">
        <v>35</v>
      </c>
      <c r="G36" s="2">
        <v>2005</v>
      </c>
      <c r="H36" s="2">
        <v>28155.4</v>
      </c>
      <c r="I36" s="2">
        <v>28166.2</v>
      </c>
      <c r="J36" s="2">
        <v>0</v>
      </c>
      <c r="L36"/>
      <c r="M36"/>
    </row>
    <row r="37" spans="1:13" x14ac:dyDescent="0.45">
      <c r="A37" s="2" t="s">
        <v>16</v>
      </c>
      <c r="B37" s="2" t="s">
        <v>7</v>
      </c>
      <c r="C37" s="2" t="s">
        <v>8</v>
      </c>
      <c r="D37" s="2" t="s">
        <v>3</v>
      </c>
      <c r="E37" s="2" t="s">
        <v>9</v>
      </c>
      <c r="F37" s="2" t="s">
        <v>5</v>
      </c>
      <c r="G37" s="2">
        <v>2013</v>
      </c>
      <c r="H37" s="2">
        <v>68298.899999999994</v>
      </c>
      <c r="I37" s="2">
        <v>57097.5</v>
      </c>
      <c r="J37" s="2">
        <v>11201.4</v>
      </c>
      <c r="L37"/>
      <c r="M37"/>
    </row>
    <row r="38" spans="1:13" x14ac:dyDescent="0.45">
      <c r="A38" s="2" t="s">
        <v>57</v>
      </c>
      <c r="B38" s="2" t="s">
        <v>1</v>
      </c>
      <c r="C38" s="2" t="s">
        <v>58</v>
      </c>
      <c r="D38" s="2" t="s">
        <v>59</v>
      </c>
      <c r="E38" s="2" t="s">
        <v>60</v>
      </c>
      <c r="F38" s="2" t="s">
        <v>5</v>
      </c>
      <c r="G38" s="2">
        <v>2011</v>
      </c>
      <c r="H38" s="2">
        <v>37687.800000000003</v>
      </c>
      <c r="I38" s="2">
        <v>13330.4</v>
      </c>
      <c r="J38" s="2">
        <v>24384.799999999999</v>
      </c>
      <c r="L38"/>
      <c r="M38"/>
    </row>
    <row r="39" spans="1:13" x14ac:dyDescent="0.45">
      <c r="A39" s="2" t="s">
        <v>503</v>
      </c>
      <c r="B39" s="2" t="s">
        <v>1</v>
      </c>
      <c r="C39" s="2" t="s">
        <v>504</v>
      </c>
      <c r="D39" s="2" t="s">
        <v>505</v>
      </c>
      <c r="E39" s="2" t="s">
        <v>9</v>
      </c>
      <c r="F39" s="2" t="s">
        <v>5</v>
      </c>
      <c r="G39" s="2">
        <v>2002</v>
      </c>
      <c r="H39" s="2">
        <v>7934.5</v>
      </c>
      <c r="I39" s="2">
        <v>2022.8</v>
      </c>
      <c r="J39" s="2">
        <v>5906</v>
      </c>
      <c r="L39"/>
      <c r="M39"/>
    </row>
    <row r="40" spans="1:13" x14ac:dyDescent="0.45">
      <c r="A40" s="2" t="s">
        <v>291</v>
      </c>
      <c r="B40" s="2" t="s">
        <v>7</v>
      </c>
      <c r="C40" s="2" t="s">
        <v>8</v>
      </c>
      <c r="D40" s="2" t="s">
        <v>3</v>
      </c>
      <c r="E40" s="2" t="s">
        <v>9</v>
      </c>
      <c r="F40" s="2" t="s">
        <v>5</v>
      </c>
      <c r="G40" s="2">
        <v>2008</v>
      </c>
      <c r="H40" s="2">
        <v>12700.7</v>
      </c>
      <c r="I40" s="2">
        <v>8281.2000000000007</v>
      </c>
      <c r="J40" s="2">
        <v>4423.1000000000004</v>
      </c>
      <c r="L40"/>
      <c r="M40"/>
    </row>
    <row r="41" spans="1:13" x14ac:dyDescent="0.45">
      <c r="A41" s="2" t="s">
        <v>510</v>
      </c>
      <c r="B41" s="2" t="s">
        <v>1</v>
      </c>
      <c r="C41" s="2" t="s">
        <v>8</v>
      </c>
      <c r="D41" s="2" t="s">
        <v>3</v>
      </c>
      <c r="E41" s="2" t="s">
        <v>278</v>
      </c>
      <c r="F41" s="2" t="s">
        <v>35</v>
      </c>
      <c r="G41" s="2">
        <v>2001</v>
      </c>
      <c r="H41" s="2">
        <v>7871.9</v>
      </c>
      <c r="I41" s="2">
        <v>7152</v>
      </c>
      <c r="J41" s="2">
        <v>706.6</v>
      </c>
      <c r="L41"/>
      <c r="M41"/>
    </row>
    <row r="42" spans="1:13" x14ac:dyDescent="0.45">
      <c r="A42" s="2" t="s">
        <v>360</v>
      </c>
      <c r="B42" s="2" t="s">
        <v>1</v>
      </c>
      <c r="C42" s="2" t="s">
        <v>8</v>
      </c>
      <c r="D42" s="2" t="s">
        <v>11</v>
      </c>
      <c r="E42" s="2" t="s">
        <v>138</v>
      </c>
      <c r="F42" s="2" t="s">
        <v>35</v>
      </c>
      <c r="G42" s="2">
        <v>1996</v>
      </c>
      <c r="H42" s="2">
        <v>10607</v>
      </c>
      <c r="I42" s="2">
        <v>10520.3</v>
      </c>
      <c r="J42" s="2">
        <v>92.7</v>
      </c>
      <c r="L42"/>
      <c r="M42"/>
    </row>
    <row r="43" spans="1:13" x14ac:dyDescent="0.45">
      <c r="A43" s="2" t="s">
        <v>133</v>
      </c>
      <c r="B43" s="2" t="s">
        <v>1</v>
      </c>
      <c r="C43" s="2" t="s">
        <v>134</v>
      </c>
      <c r="D43" s="2" t="s">
        <v>3</v>
      </c>
      <c r="E43" s="2" t="s">
        <v>47</v>
      </c>
      <c r="F43" s="2" t="s">
        <v>5</v>
      </c>
      <c r="G43" s="2">
        <v>2006</v>
      </c>
      <c r="H43" s="2">
        <v>21003.5</v>
      </c>
      <c r="I43" s="2">
        <v>20142.3</v>
      </c>
      <c r="J43" s="2">
        <v>867.4</v>
      </c>
      <c r="L43"/>
      <c r="M43"/>
    </row>
    <row r="44" spans="1:13" x14ac:dyDescent="0.45">
      <c r="A44" s="2" t="s">
        <v>446</v>
      </c>
      <c r="B44" s="2" t="s">
        <v>7</v>
      </c>
      <c r="C44" s="2" t="s">
        <v>2</v>
      </c>
      <c r="D44" s="2" t="s">
        <v>3</v>
      </c>
      <c r="E44" s="2" t="s">
        <v>9</v>
      </c>
      <c r="F44" s="2" t="s">
        <v>5</v>
      </c>
      <c r="G44" s="2">
        <v>2002</v>
      </c>
      <c r="H44" s="2">
        <v>8706.4</v>
      </c>
      <c r="I44" s="2">
        <v>8477.2999999999993</v>
      </c>
      <c r="J44" s="2">
        <v>233</v>
      </c>
      <c r="L44"/>
      <c r="M44"/>
    </row>
    <row r="45" spans="1:13" x14ac:dyDescent="0.45">
      <c r="A45" s="2" t="s">
        <v>545</v>
      </c>
      <c r="B45" s="2" t="s">
        <v>1</v>
      </c>
      <c r="C45" s="2" t="s">
        <v>8</v>
      </c>
      <c r="D45" s="2" t="s">
        <v>3</v>
      </c>
      <c r="E45" s="2" t="s">
        <v>4</v>
      </c>
      <c r="F45" s="2" t="s">
        <v>5</v>
      </c>
      <c r="G45" s="2">
        <v>2007</v>
      </c>
      <c r="H45" s="2">
        <v>7431.9</v>
      </c>
      <c r="I45" s="2">
        <v>6391.9</v>
      </c>
      <c r="J45" s="2">
        <v>1058.7</v>
      </c>
      <c r="L45"/>
      <c r="M45"/>
    </row>
    <row r="46" spans="1:13" x14ac:dyDescent="0.45">
      <c r="A46" s="2" t="s">
        <v>460</v>
      </c>
      <c r="B46" s="2" t="s">
        <v>65</v>
      </c>
      <c r="C46" s="2" t="s">
        <v>8</v>
      </c>
      <c r="D46" s="2" t="s">
        <v>3</v>
      </c>
      <c r="E46" s="2" t="s">
        <v>9</v>
      </c>
      <c r="F46" s="2" t="s">
        <v>35</v>
      </c>
      <c r="G46" s="2">
        <v>1996</v>
      </c>
      <c r="H46" s="2">
        <v>8485.9</v>
      </c>
      <c r="I46" s="2">
        <v>8144</v>
      </c>
      <c r="J46" s="2">
        <v>346</v>
      </c>
      <c r="L46"/>
      <c r="M46"/>
    </row>
    <row r="47" spans="1:13" x14ac:dyDescent="0.45">
      <c r="A47" s="2" t="s">
        <v>10</v>
      </c>
      <c r="B47" s="2" t="s">
        <v>1</v>
      </c>
      <c r="C47" s="2" t="s">
        <v>8</v>
      </c>
      <c r="D47" s="2" t="s">
        <v>11</v>
      </c>
      <c r="E47" s="2" t="s">
        <v>12</v>
      </c>
      <c r="F47" s="2" t="s">
        <v>5</v>
      </c>
      <c r="G47" s="2">
        <v>2013</v>
      </c>
      <c r="H47" s="2">
        <v>125899.8</v>
      </c>
      <c r="I47" s="2">
        <v>82189.3</v>
      </c>
      <c r="J47" s="2">
        <v>43710.5</v>
      </c>
      <c r="L47"/>
      <c r="M47"/>
    </row>
    <row r="48" spans="1:13" x14ac:dyDescent="0.45">
      <c r="A48" s="2" t="s">
        <v>264</v>
      </c>
      <c r="B48" s="2" t="s">
        <v>1</v>
      </c>
      <c r="C48" s="2" t="s">
        <v>76</v>
      </c>
      <c r="D48" s="2" t="s">
        <v>11</v>
      </c>
      <c r="E48" s="2" t="s">
        <v>77</v>
      </c>
      <c r="F48" s="2" t="s">
        <v>35</v>
      </c>
      <c r="G48" s="2">
        <v>2003</v>
      </c>
      <c r="H48" s="2">
        <v>13433.6</v>
      </c>
      <c r="I48" s="2">
        <v>12366.7</v>
      </c>
      <c r="J48" s="2">
        <v>1072.9000000000001</v>
      </c>
      <c r="L48"/>
      <c r="M48"/>
    </row>
    <row r="49" spans="1:13" x14ac:dyDescent="0.45">
      <c r="A49" s="2" t="s">
        <v>409</v>
      </c>
      <c r="B49" s="2" t="s">
        <v>1</v>
      </c>
      <c r="C49" s="2" t="s">
        <v>20</v>
      </c>
      <c r="D49" s="2" t="s">
        <v>3</v>
      </c>
      <c r="E49" s="2" t="s">
        <v>44</v>
      </c>
      <c r="F49" s="2" t="s">
        <v>35</v>
      </c>
      <c r="G49" s="2">
        <v>2010</v>
      </c>
      <c r="H49" s="2">
        <v>9439.9</v>
      </c>
      <c r="I49" s="2">
        <v>4498.2</v>
      </c>
      <c r="J49" s="2">
        <v>4948.6000000000004</v>
      </c>
      <c r="L49"/>
      <c r="M49"/>
    </row>
    <row r="50" spans="1:13" x14ac:dyDescent="0.45">
      <c r="A50" s="2" t="s">
        <v>534</v>
      </c>
      <c r="B50" s="2" t="s">
        <v>7</v>
      </c>
      <c r="C50" s="2" t="s">
        <v>535</v>
      </c>
      <c r="D50" s="2" t="s">
        <v>3</v>
      </c>
      <c r="E50" s="2" t="s">
        <v>38</v>
      </c>
      <c r="F50" s="2" t="s">
        <v>5</v>
      </c>
      <c r="G50" s="2">
        <v>2017</v>
      </c>
      <c r="H50" s="2">
        <v>7552.8</v>
      </c>
      <c r="I50" s="2">
        <v>5418.1</v>
      </c>
      <c r="J50" s="2">
        <v>2144.1</v>
      </c>
      <c r="L50"/>
      <c r="M50"/>
    </row>
    <row r="51" spans="1:13" x14ac:dyDescent="0.45">
      <c r="A51" s="2" t="s">
        <v>178</v>
      </c>
      <c r="B51" s="2" t="s">
        <v>7</v>
      </c>
      <c r="C51" s="2" t="s">
        <v>8</v>
      </c>
      <c r="D51" s="2" t="s">
        <v>3</v>
      </c>
      <c r="E51" s="2" t="s">
        <v>9</v>
      </c>
      <c r="F51" s="2" t="s">
        <v>5</v>
      </c>
      <c r="G51" s="2">
        <v>2014</v>
      </c>
      <c r="H51" s="2">
        <v>17440.2</v>
      </c>
      <c r="I51" s="2">
        <v>5933.3</v>
      </c>
      <c r="J51" s="2">
        <v>11512.1</v>
      </c>
      <c r="L51"/>
      <c r="M51"/>
    </row>
    <row r="52" spans="1:13" x14ac:dyDescent="0.45">
      <c r="A52" s="2" t="s">
        <v>281</v>
      </c>
      <c r="B52" s="2" t="s">
        <v>7</v>
      </c>
      <c r="C52" s="2" t="s">
        <v>8</v>
      </c>
      <c r="D52" s="2" t="s">
        <v>11</v>
      </c>
      <c r="E52" s="2" t="s">
        <v>69</v>
      </c>
      <c r="F52" s="2" t="s">
        <v>5</v>
      </c>
      <c r="G52" s="2">
        <v>2013</v>
      </c>
      <c r="H52" s="2">
        <v>12985.2</v>
      </c>
      <c r="I52" s="2">
        <v>8772.2000000000007</v>
      </c>
      <c r="J52" s="2">
        <v>4216.8</v>
      </c>
      <c r="L52"/>
      <c r="M52"/>
    </row>
    <row r="53" spans="1:13" x14ac:dyDescent="0.45">
      <c r="A53" s="2" t="s">
        <v>486</v>
      </c>
      <c r="B53" s="2" t="s">
        <v>1</v>
      </c>
      <c r="C53" s="2" t="s">
        <v>20</v>
      </c>
      <c r="D53" s="2" t="s">
        <v>3</v>
      </c>
      <c r="E53" s="2" t="s">
        <v>9</v>
      </c>
      <c r="F53" s="2" t="s">
        <v>35</v>
      </c>
      <c r="G53" s="2">
        <v>1963</v>
      </c>
      <c r="H53" s="2">
        <v>8197.2000000000007</v>
      </c>
      <c r="I53" s="2">
        <v>8080.4</v>
      </c>
      <c r="J53" s="2">
        <v>120.7</v>
      </c>
      <c r="L53"/>
      <c r="M53"/>
    </row>
    <row r="54" spans="1:13" x14ac:dyDescent="0.45">
      <c r="A54" s="2" t="s">
        <v>342</v>
      </c>
      <c r="B54" s="2" t="s">
        <v>1</v>
      </c>
      <c r="C54" s="2" t="s">
        <v>29</v>
      </c>
      <c r="D54" s="2" t="s">
        <v>11</v>
      </c>
      <c r="E54" s="2" t="s">
        <v>12</v>
      </c>
      <c r="F54" s="2" t="s">
        <v>5</v>
      </c>
      <c r="G54" s="2">
        <v>2019</v>
      </c>
      <c r="H54" s="2">
        <v>10974</v>
      </c>
      <c r="I54" s="2">
        <v>9511.5</v>
      </c>
      <c r="J54" s="2">
        <v>1474.2</v>
      </c>
      <c r="L54"/>
      <c r="M54"/>
    </row>
    <row r="55" spans="1:13" x14ac:dyDescent="0.45">
      <c r="A55" s="2" t="s">
        <v>570</v>
      </c>
      <c r="B55" s="2" t="s">
        <v>1</v>
      </c>
      <c r="C55" s="2" t="s">
        <v>8</v>
      </c>
      <c r="D55" s="2" t="s">
        <v>3</v>
      </c>
      <c r="E55" s="2" t="s">
        <v>9</v>
      </c>
      <c r="F55" s="2" t="s">
        <v>5</v>
      </c>
      <c r="G55" s="2">
        <v>2007</v>
      </c>
      <c r="H55" s="2">
        <v>7114.1</v>
      </c>
      <c r="I55" s="2">
        <v>4400.3</v>
      </c>
      <c r="J55" s="2">
        <v>2716</v>
      </c>
      <c r="L55"/>
      <c r="M55"/>
    </row>
    <row r="56" spans="1:13" x14ac:dyDescent="0.45">
      <c r="A56" s="2" t="s">
        <v>387</v>
      </c>
      <c r="B56" s="2" t="s">
        <v>1</v>
      </c>
      <c r="C56" s="2" t="s">
        <v>8</v>
      </c>
      <c r="D56" s="2" t="s">
        <v>3</v>
      </c>
      <c r="E56" s="2" t="s">
        <v>9</v>
      </c>
      <c r="F56" s="2" t="s">
        <v>5</v>
      </c>
      <c r="G56" s="2">
        <v>2021</v>
      </c>
      <c r="H56" s="2">
        <v>9949.6</v>
      </c>
      <c r="I56" s="2">
        <v>9956.4</v>
      </c>
      <c r="J56" s="2">
        <v>0</v>
      </c>
      <c r="L56"/>
      <c r="M56"/>
    </row>
    <row r="57" spans="1:13" x14ac:dyDescent="0.45">
      <c r="A57" s="2" t="s">
        <v>67</v>
      </c>
      <c r="B57" s="2" t="s">
        <v>7</v>
      </c>
      <c r="C57" s="2" t="s">
        <v>8</v>
      </c>
      <c r="D57" s="2" t="s">
        <v>3</v>
      </c>
      <c r="E57" s="2" t="s">
        <v>9</v>
      </c>
      <c r="F57" s="2" t="s">
        <v>5</v>
      </c>
      <c r="G57" s="2">
        <v>2003</v>
      </c>
      <c r="H57" s="2">
        <v>34975.199999999997</v>
      </c>
      <c r="I57" s="2">
        <v>29662.799999999999</v>
      </c>
      <c r="J57" s="2">
        <v>5325.3</v>
      </c>
      <c r="L57"/>
      <c r="M57"/>
    </row>
    <row r="58" spans="1:13" x14ac:dyDescent="0.45">
      <c r="A58" s="2" t="s">
        <v>474</v>
      </c>
      <c r="B58" s="2" t="s">
        <v>7</v>
      </c>
      <c r="C58" s="2" t="s">
        <v>115</v>
      </c>
      <c r="D58" s="2" t="s">
        <v>116</v>
      </c>
      <c r="E58" s="2" t="s">
        <v>475</v>
      </c>
      <c r="F58" s="2" t="s">
        <v>5</v>
      </c>
      <c r="G58" s="2">
        <v>1980</v>
      </c>
      <c r="H58" s="2">
        <v>8316.5</v>
      </c>
      <c r="I58" s="2">
        <v>8317.7999999999993</v>
      </c>
      <c r="J58" s="2">
        <v>0</v>
      </c>
      <c r="L58"/>
      <c r="M58"/>
    </row>
    <row r="59" spans="1:13" x14ac:dyDescent="0.45">
      <c r="A59" s="2" t="s">
        <v>194</v>
      </c>
      <c r="B59" s="2" t="s">
        <v>1</v>
      </c>
      <c r="C59" s="2" t="s">
        <v>8</v>
      </c>
      <c r="D59" s="2" t="s">
        <v>3</v>
      </c>
      <c r="E59" s="2" t="s">
        <v>4</v>
      </c>
      <c r="F59" s="2" t="s">
        <v>5</v>
      </c>
      <c r="G59" s="2">
        <v>2007</v>
      </c>
      <c r="H59" s="2">
        <v>16428.900000000001</v>
      </c>
      <c r="I59" s="2">
        <v>12009.4</v>
      </c>
      <c r="J59" s="2">
        <v>4364.5</v>
      </c>
      <c r="L59"/>
      <c r="M59"/>
    </row>
    <row r="60" spans="1:13" x14ac:dyDescent="0.45">
      <c r="A60" s="2" t="s">
        <v>24</v>
      </c>
      <c r="B60" s="2" t="s">
        <v>7</v>
      </c>
      <c r="C60" s="2" t="s">
        <v>8</v>
      </c>
      <c r="D60" s="2" t="s">
        <v>3</v>
      </c>
      <c r="E60" s="2" t="s">
        <v>9</v>
      </c>
      <c r="F60" s="2" t="s">
        <v>5</v>
      </c>
      <c r="G60" s="2">
        <v>2015</v>
      </c>
      <c r="H60" s="2">
        <v>58049.5</v>
      </c>
      <c r="I60" s="2">
        <v>57160.1</v>
      </c>
      <c r="J60" s="2">
        <v>889.4</v>
      </c>
      <c r="L60"/>
      <c r="M60"/>
    </row>
    <row r="61" spans="1:13" x14ac:dyDescent="0.45">
      <c r="A61" s="2" t="s">
        <v>416</v>
      </c>
      <c r="B61" s="2" t="s">
        <v>1</v>
      </c>
      <c r="C61" s="2" t="s">
        <v>8</v>
      </c>
      <c r="D61" s="2" t="s">
        <v>3</v>
      </c>
      <c r="E61" s="2" t="s">
        <v>38</v>
      </c>
      <c r="F61" s="2" t="s">
        <v>5</v>
      </c>
      <c r="G61" s="2">
        <v>1971</v>
      </c>
      <c r="H61" s="2">
        <v>9290.9</v>
      </c>
      <c r="I61" s="2">
        <v>9255.2000000000007</v>
      </c>
      <c r="J61" s="2">
        <v>40.4</v>
      </c>
      <c r="L61"/>
      <c r="M61"/>
    </row>
    <row r="62" spans="1:13" x14ac:dyDescent="0.45">
      <c r="A62" s="2" t="s">
        <v>210</v>
      </c>
      <c r="B62" s="2" t="s">
        <v>1</v>
      </c>
      <c r="C62" s="2" t="s">
        <v>209</v>
      </c>
      <c r="D62" s="2" t="s">
        <v>11</v>
      </c>
      <c r="E62" s="2" t="s">
        <v>69</v>
      </c>
      <c r="F62" s="2" t="s">
        <v>5</v>
      </c>
      <c r="G62" s="2">
        <v>2017</v>
      </c>
      <c r="H62" s="2">
        <v>15638.8</v>
      </c>
      <c r="I62" s="2">
        <v>13216.1</v>
      </c>
      <c r="J62" s="2">
        <v>2427.1999999999998</v>
      </c>
      <c r="L62"/>
      <c r="M62"/>
    </row>
    <row r="63" spans="1:13" x14ac:dyDescent="0.45">
      <c r="A63" s="2" t="s">
        <v>205</v>
      </c>
      <c r="B63" s="2" t="s">
        <v>65</v>
      </c>
      <c r="C63" s="2" t="s">
        <v>8</v>
      </c>
      <c r="D63" s="2" t="s">
        <v>3</v>
      </c>
      <c r="E63" s="2" t="s">
        <v>4</v>
      </c>
      <c r="F63" s="2" t="s">
        <v>35</v>
      </c>
      <c r="G63" s="2">
        <v>1998</v>
      </c>
      <c r="H63" s="2">
        <v>15775.7</v>
      </c>
      <c r="I63" s="2">
        <v>15257.4</v>
      </c>
      <c r="J63" s="2">
        <v>527.70000000000005</v>
      </c>
      <c r="L63"/>
      <c r="M63"/>
    </row>
    <row r="64" spans="1:13" x14ac:dyDescent="0.45">
      <c r="A64" s="2" t="s">
        <v>328</v>
      </c>
      <c r="B64" s="2" t="s">
        <v>1</v>
      </c>
      <c r="C64" s="2" t="s">
        <v>8</v>
      </c>
      <c r="D64" s="2" t="s">
        <v>3</v>
      </c>
      <c r="E64" s="2" t="s">
        <v>14</v>
      </c>
      <c r="F64" s="2" t="s">
        <v>5</v>
      </c>
      <c r="G64" s="2">
        <v>2006</v>
      </c>
      <c r="H64" s="2">
        <v>11428.5</v>
      </c>
      <c r="I64" s="2">
        <v>7562.2</v>
      </c>
      <c r="J64" s="2">
        <v>3868</v>
      </c>
      <c r="L64"/>
      <c r="M64"/>
    </row>
    <row r="65" spans="1:13" x14ac:dyDescent="0.45">
      <c r="A65" s="2" t="s">
        <v>176</v>
      </c>
      <c r="B65" s="2" t="s">
        <v>7</v>
      </c>
      <c r="C65" s="2" t="s">
        <v>32</v>
      </c>
      <c r="D65" s="2" t="s">
        <v>33</v>
      </c>
      <c r="E65" s="2" t="s">
        <v>34</v>
      </c>
      <c r="F65" s="2" t="s">
        <v>35</v>
      </c>
      <c r="G65" s="2">
        <v>2016</v>
      </c>
      <c r="H65" s="2">
        <v>17517.400000000001</v>
      </c>
      <c r="I65" s="2">
        <v>7595.2</v>
      </c>
      <c r="J65" s="2">
        <v>9927.7999999999993</v>
      </c>
      <c r="L65"/>
      <c r="M65"/>
    </row>
    <row r="66" spans="1:13" x14ac:dyDescent="0.45">
      <c r="A66" s="2" t="s">
        <v>429</v>
      </c>
      <c r="B66" s="2" t="s">
        <v>1</v>
      </c>
      <c r="C66" s="2" t="s">
        <v>29</v>
      </c>
      <c r="D66" s="2" t="s">
        <v>11</v>
      </c>
      <c r="E66" s="2" t="s">
        <v>12</v>
      </c>
      <c r="F66" s="2" t="s">
        <v>5</v>
      </c>
      <c r="G66" s="2">
        <v>2018</v>
      </c>
      <c r="H66" s="2">
        <v>8965</v>
      </c>
      <c r="I66" s="2">
        <v>6387.9</v>
      </c>
      <c r="J66" s="2">
        <v>2587.4</v>
      </c>
      <c r="L66"/>
      <c r="M66"/>
    </row>
    <row r="67" spans="1:13" x14ac:dyDescent="0.45">
      <c r="A67" s="2" t="s">
        <v>353</v>
      </c>
      <c r="B67" s="2" t="s">
        <v>1</v>
      </c>
      <c r="C67" s="2" t="s">
        <v>8</v>
      </c>
      <c r="D67" s="2" t="s">
        <v>3</v>
      </c>
      <c r="E67" s="2" t="s">
        <v>38</v>
      </c>
      <c r="F67" s="2" t="s">
        <v>35</v>
      </c>
      <c r="G67" s="2">
        <v>1995</v>
      </c>
      <c r="H67" s="2">
        <v>10760.4</v>
      </c>
      <c r="I67" s="2">
        <v>10630.4</v>
      </c>
      <c r="J67" s="2">
        <v>133.80000000000001</v>
      </c>
      <c r="L67"/>
      <c r="M67"/>
    </row>
    <row r="68" spans="1:13" x14ac:dyDescent="0.45">
      <c r="A68" s="2" t="s">
        <v>223</v>
      </c>
      <c r="B68" s="2" t="s">
        <v>1</v>
      </c>
      <c r="C68" s="2" t="s">
        <v>170</v>
      </c>
      <c r="D68" s="2" t="s">
        <v>3</v>
      </c>
      <c r="E68" s="2" t="s">
        <v>171</v>
      </c>
      <c r="F68" s="2" t="s">
        <v>35</v>
      </c>
      <c r="G68" s="2">
        <v>1962</v>
      </c>
      <c r="H68" s="2">
        <v>14992.7</v>
      </c>
      <c r="I68" s="2">
        <v>14837.1</v>
      </c>
      <c r="J68" s="2">
        <v>161.6</v>
      </c>
      <c r="L68"/>
      <c r="M68"/>
    </row>
    <row r="69" spans="1:13" x14ac:dyDescent="0.45">
      <c r="A69" s="2" t="s">
        <v>492</v>
      </c>
      <c r="B69" s="2" t="s">
        <v>1</v>
      </c>
      <c r="C69" s="2" t="s">
        <v>8</v>
      </c>
      <c r="D69" s="2" t="s">
        <v>3</v>
      </c>
      <c r="E69" s="2" t="s">
        <v>259</v>
      </c>
      <c r="F69" s="2" t="s">
        <v>5</v>
      </c>
      <c r="G69" s="2">
        <v>2007</v>
      </c>
      <c r="H69" s="2">
        <v>8065.4</v>
      </c>
      <c r="I69" s="2">
        <v>7161.8</v>
      </c>
      <c r="J69" s="2">
        <v>905.7</v>
      </c>
      <c r="L69"/>
      <c r="M69"/>
    </row>
    <row r="70" spans="1:13" x14ac:dyDescent="0.45">
      <c r="A70" s="2" t="s">
        <v>351</v>
      </c>
      <c r="B70" s="2" t="s">
        <v>1</v>
      </c>
      <c r="C70" s="2" t="s">
        <v>8</v>
      </c>
      <c r="D70" s="2" t="s">
        <v>3</v>
      </c>
      <c r="E70" s="2" t="s">
        <v>38</v>
      </c>
      <c r="F70" s="2" t="s">
        <v>35</v>
      </c>
      <c r="G70" s="2">
        <v>1984</v>
      </c>
      <c r="H70" s="2">
        <v>10771.3</v>
      </c>
      <c r="I70" s="2">
        <v>10772.2</v>
      </c>
      <c r="J70" s="2">
        <v>0.6</v>
      </c>
      <c r="L70"/>
      <c r="M70"/>
    </row>
    <row r="71" spans="1:13" x14ac:dyDescent="0.45">
      <c r="A71" s="2" t="s">
        <v>473</v>
      </c>
      <c r="B71" s="2" t="s">
        <v>1</v>
      </c>
      <c r="C71" s="2" t="s">
        <v>115</v>
      </c>
      <c r="D71" s="2" t="s">
        <v>116</v>
      </c>
      <c r="E71" s="2" t="s">
        <v>4</v>
      </c>
      <c r="F71" s="2" t="s">
        <v>5</v>
      </c>
      <c r="G71" s="2">
        <v>2006</v>
      </c>
      <c r="H71" s="2">
        <v>8326.7000000000007</v>
      </c>
      <c r="I71" s="2">
        <v>4696.3999999999996</v>
      </c>
      <c r="J71" s="2">
        <v>3630.4</v>
      </c>
      <c r="L71"/>
      <c r="M71"/>
    </row>
    <row r="72" spans="1:13" x14ac:dyDescent="0.45">
      <c r="A72" s="2" t="s">
        <v>262</v>
      </c>
      <c r="B72" s="2" t="s">
        <v>1</v>
      </c>
      <c r="C72" s="2" t="s">
        <v>8</v>
      </c>
      <c r="D72" s="2" t="s">
        <v>3</v>
      </c>
      <c r="E72" s="2" t="s">
        <v>14</v>
      </c>
      <c r="F72" s="2" t="s">
        <v>5</v>
      </c>
      <c r="G72" s="2">
        <v>2013</v>
      </c>
      <c r="H72" s="2">
        <v>13490.4</v>
      </c>
      <c r="I72" s="2">
        <v>9955.4</v>
      </c>
      <c r="J72" s="2">
        <v>3540.8</v>
      </c>
      <c r="L72"/>
      <c r="M72"/>
    </row>
    <row r="73" spans="1:13" x14ac:dyDescent="0.45">
      <c r="A73" s="2" t="s">
        <v>383</v>
      </c>
      <c r="B73" s="2" t="s">
        <v>1</v>
      </c>
      <c r="C73" s="2" t="s">
        <v>20</v>
      </c>
      <c r="D73" s="2" t="s">
        <v>3</v>
      </c>
      <c r="E73" s="2" t="s">
        <v>38</v>
      </c>
      <c r="F73" s="2" t="s">
        <v>35</v>
      </c>
      <c r="G73" s="2">
        <v>2006</v>
      </c>
      <c r="H73" s="2">
        <v>10108</v>
      </c>
      <c r="I73" s="2">
        <v>8333.7000000000007</v>
      </c>
      <c r="J73" s="2">
        <v>1782</v>
      </c>
      <c r="L73"/>
      <c r="M73"/>
    </row>
    <row r="74" spans="1:13" x14ac:dyDescent="0.45">
      <c r="A74" s="2" t="s">
        <v>199</v>
      </c>
      <c r="B74" s="2" t="s">
        <v>7</v>
      </c>
      <c r="C74" s="2" t="s">
        <v>8</v>
      </c>
      <c r="D74" s="2" t="s">
        <v>3</v>
      </c>
      <c r="E74" s="2" t="s">
        <v>9</v>
      </c>
      <c r="F74" s="2" t="s">
        <v>5</v>
      </c>
      <c r="G74" s="2">
        <v>1998</v>
      </c>
      <c r="H74" s="2">
        <v>16148.3</v>
      </c>
      <c r="I74" s="2">
        <v>14108.3</v>
      </c>
      <c r="J74" s="2">
        <v>2048.1</v>
      </c>
      <c r="L74"/>
      <c r="M74"/>
    </row>
    <row r="75" spans="1:13" x14ac:dyDescent="0.45">
      <c r="A75" s="2" t="s">
        <v>431</v>
      </c>
      <c r="B75" s="2" t="s">
        <v>1</v>
      </c>
      <c r="C75" s="2" t="s">
        <v>8</v>
      </c>
      <c r="D75" s="2" t="s">
        <v>3</v>
      </c>
      <c r="E75" s="2" t="s">
        <v>38</v>
      </c>
      <c r="F75" s="2" t="s">
        <v>5</v>
      </c>
      <c r="G75" s="2">
        <v>1973</v>
      </c>
      <c r="H75" s="2">
        <v>8927.6</v>
      </c>
      <c r="I75" s="2">
        <v>8741.2000000000007</v>
      </c>
      <c r="J75" s="2">
        <v>189.7</v>
      </c>
      <c r="L75"/>
      <c r="M75"/>
    </row>
    <row r="76" spans="1:13" x14ac:dyDescent="0.45">
      <c r="A76" s="2" t="s">
        <v>25</v>
      </c>
      <c r="B76" s="2" t="s">
        <v>1</v>
      </c>
      <c r="C76" s="2" t="s">
        <v>8</v>
      </c>
      <c r="D76" s="2" t="s">
        <v>3</v>
      </c>
      <c r="E76" s="2" t="s">
        <v>9</v>
      </c>
      <c r="F76" s="2" t="s">
        <v>5</v>
      </c>
      <c r="G76" s="2">
        <v>2010</v>
      </c>
      <c r="H76" s="2">
        <v>56727.1</v>
      </c>
      <c r="I76" s="2">
        <v>40714</v>
      </c>
      <c r="J76" s="2">
        <v>16013.1</v>
      </c>
      <c r="L76"/>
      <c r="M76"/>
    </row>
    <row r="77" spans="1:13" x14ac:dyDescent="0.45">
      <c r="A77" s="2" t="s">
        <v>539</v>
      </c>
      <c r="B77" s="2" t="s">
        <v>1</v>
      </c>
      <c r="C77" s="2" t="s">
        <v>2</v>
      </c>
      <c r="D77" s="2" t="s">
        <v>3</v>
      </c>
      <c r="E77" s="2" t="s">
        <v>38</v>
      </c>
      <c r="F77" s="2" t="s">
        <v>5</v>
      </c>
      <c r="G77" s="2">
        <v>1980</v>
      </c>
      <c r="H77" s="2">
        <v>7503.2</v>
      </c>
      <c r="I77" s="2">
        <v>5958.2</v>
      </c>
      <c r="J77" s="2">
        <v>1568.1</v>
      </c>
      <c r="L77"/>
      <c r="M77"/>
    </row>
    <row r="78" spans="1:13" x14ac:dyDescent="0.45">
      <c r="A78" s="2" t="s">
        <v>299</v>
      </c>
      <c r="B78" s="2" t="s">
        <v>1</v>
      </c>
      <c r="C78" s="2" t="s">
        <v>8</v>
      </c>
      <c r="D78" s="2" t="s">
        <v>11</v>
      </c>
      <c r="E78" s="2" t="s">
        <v>12</v>
      </c>
      <c r="F78" s="2" t="s">
        <v>5</v>
      </c>
      <c r="G78" s="2">
        <v>2015</v>
      </c>
      <c r="H78" s="2">
        <v>12394.6</v>
      </c>
      <c r="I78" s="2">
        <v>4419.3999999999996</v>
      </c>
      <c r="J78" s="2">
        <v>7981.5</v>
      </c>
      <c r="L78"/>
      <c r="M78"/>
    </row>
    <row r="79" spans="1:13" x14ac:dyDescent="0.45">
      <c r="A79" s="2" t="s">
        <v>253</v>
      </c>
      <c r="B79" s="2" t="s">
        <v>1</v>
      </c>
      <c r="C79" s="2" t="s">
        <v>8</v>
      </c>
      <c r="D79" s="2" t="s">
        <v>3</v>
      </c>
      <c r="E79" s="2" t="s">
        <v>14</v>
      </c>
      <c r="F79" s="2" t="s">
        <v>5</v>
      </c>
      <c r="G79" s="2">
        <v>2011</v>
      </c>
      <c r="H79" s="2">
        <v>13890.6</v>
      </c>
      <c r="I79" s="2">
        <v>13739.5</v>
      </c>
      <c r="J79" s="2">
        <v>155.6</v>
      </c>
      <c r="L79"/>
      <c r="M79"/>
    </row>
    <row r="80" spans="1:13" x14ac:dyDescent="0.45">
      <c r="A80" s="2" t="s">
        <v>518</v>
      </c>
      <c r="B80" s="2" t="s">
        <v>1</v>
      </c>
      <c r="C80" s="2" t="s">
        <v>8</v>
      </c>
      <c r="D80" s="2" t="s">
        <v>11</v>
      </c>
      <c r="E80" s="2" t="s">
        <v>12</v>
      </c>
      <c r="F80" s="2" t="s">
        <v>5</v>
      </c>
      <c r="G80" s="2">
        <v>2014</v>
      </c>
      <c r="H80" s="2">
        <v>7785.3</v>
      </c>
      <c r="I80" s="2">
        <v>2720.2</v>
      </c>
      <c r="J80" s="2">
        <v>5065.1000000000004</v>
      </c>
      <c r="L80"/>
      <c r="M80"/>
    </row>
    <row r="81" spans="1:13" x14ac:dyDescent="0.45">
      <c r="A81" s="2" t="s">
        <v>31</v>
      </c>
      <c r="B81" s="2" t="s">
        <v>1</v>
      </c>
      <c r="C81" s="2" t="s">
        <v>32</v>
      </c>
      <c r="D81" s="2" t="s">
        <v>33</v>
      </c>
      <c r="E81" s="2" t="s">
        <v>34</v>
      </c>
      <c r="F81" s="2" t="s">
        <v>35</v>
      </c>
      <c r="G81" s="2">
        <v>2013</v>
      </c>
      <c r="H81" s="2">
        <v>53308.9</v>
      </c>
      <c r="I81" s="2">
        <v>47969.9</v>
      </c>
      <c r="J81" s="2">
        <v>5339</v>
      </c>
      <c r="L81"/>
      <c r="M81"/>
    </row>
    <row r="82" spans="1:13" x14ac:dyDescent="0.45">
      <c r="A82" s="2" t="s">
        <v>371</v>
      </c>
      <c r="B82" s="2" t="s">
        <v>1</v>
      </c>
      <c r="C82" s="2" t="s">
        <v>335</v>
      </c>
      <c r="D82" s="2" t="s">
        <v>3</v>
      </c>
      <c r="E82" s="2" t="s">
        <v>336</v>
      </c>
      <c r="F82" s="2" t="s">
        <v>5</v>
      </c>
      <c r="G82" s="2">
        <v>2012</v>
      </c>
      <c r="H82" s="2">
        <v>10290.6</v>
      </c>
      <c r="I82" s="2">
        <v>2289.1999999999998</v>
      </c>
      <c r="J82" s="2">
        <v>8003.8</v>
      </c>
      <c r="L82"/>
      <c r="M82"/>
    </row>
    <row r="83" spans="1:13" x14ac:dyDescent="0.45">
      <c r="A83" s="2" t="s">
        <v>466</v>
      </c>
      <c r="B83" s="2" t="s">
        <v>1</v>
      </c>
      <c r="C83" s="2" t="s">
        <v>76</v>
      </c>
      <c r="D83" s="2" t="s">
        <v>11</v>
      </c>
      <c r="E83" s="2" t="s">
        <v>77</v>
      </c>
      <c r="F83" s="2" t="s">
        <v>35</v>
      </c>
      <c r="G83" s="2">
        <v>2010</v>
      </c>
      <c r="H83" s="2">
        <v>8433.7999999999993</v>
      </c>
      <c r="I83" s="2">
        <v>7838.5</v>
      </c>
      <c r="J83" s="2">
        <v>603.29999999999995</v>
      </c>
      <c r="L83"/>
      <c r="M83"/>
    </row>
    <row r="84" spans="1:13" x14ac:dyDescent="0.45">
      <c r="A84" s="2" t="s">
        <v>567</v>
      </c>
      <c r="B84" s="2" t="s">
        <v>1</v>
      </c>
      <c r="C84" s="2" t="s">
        <v>20</v>
      </c>
      <c r="D84" s="2" t="s">
        <v>3</v>
      </c>
      <c r="E84" s="2" t="s">
        <v>9</v>
      </c>
      <c r="F84" s="2" t="s">
        <v>5</v>
      </c>
      <c r="G84" s="2">
        <v>2016</v>
      </c>
      <c r="H84" s="2">
        <v>7192.6</v>
      </c>
      <c r="I84" s="2">
        <v>4689.2</v>
      </c>
      <c r="J84" s="2">
        <v>2505.3000000000002</v>
      </c>
      <c r="L84"/>
      <c r="M84"/>
    </row>
    <row r="85" spans="1:13" x14ac:dyDescent="0.45">
      <c r="A85" s="2" t="s">
        <v>71</v>
      </c>
      <c r="B85" s="2" t="s">
        <v>1</v>
      </c>
      <c r="C85" s="2" t="s">
        <v>72</v>
      </c>
      <c r="D85" s="2" t="s">
        <v>3</v>
      </c>
      <c r="E85" s="2" t="s">
        <v>47</v>
      </c>
      <c r="F85" s="2" t="s">
        <v>5</v>
      </c>
      <c r="G85" s="2">
        <v>2007</v>
      </c>
      <c r="H85" s="2">
        <v>34129.699999999997</v>
      </c>
      <c r="I85" s="2">
        <v>31846</v>
      </c>
      <c r="J85" s="2">
        <v>2298.3000000000002</v>
      </c>
      <c r="L85"/>
      <c r="M85"/>
    </row>
    <row r="86" spans="1:13" x14ac:dyDescent="0.45">
      <c r="A86" s="2" t="s">
        <v>129</v>
      </c>
      <c r="B86" s="2" t="s">
        <v>7</v>
      </c>
      <c r="C86" s="2" t="s">
        <v>130</v>
      </c>
      <c r="D86" s="2" t="s">
        <v>3</v>
      </c>
      <c r="E86" s="2" t="s">
        <v>9</v>
      </c>
      <c r="F86" s="2" t="s">
        <v>5</v>
      </c>
      <c r="G86" s="2">
        <v>2012</v>
      </c>
      <c r="H86" s="2">
        <v>21546.2</v>
      </c>
      <c r="I86" s="2">
        <v>12365.6</v>
      </c>
      <c r="J86" s="2">
        <v>9186</v>
      </c>
      <c r="L86"/>
      <c r="M86"/>
    </row>
    <row r="87" spans="1:13" x14ac:dyDescent="0.45">
      <c r="A87" s="2" t="s">
        <v>249</v>
      </c>
      <c r="B87" s="2" t="s">
        <v>1</v>
      </c>
      <c r="C87" s="2" t="s">
        <v>29</v>
      </c>
      <c r="D87" s="2" t="s">
        <v>11</v>
      </c>
      <c r="E87" s="2" t="s">
        <v>9</v>
      </c>
      <c r="F87" s="2" t="s">
        <v>5</v>
      </c>
      <c r="G87" s="2">
        <v>2007</v>
      </c>
      <c r="H87" s="2">
        <v>13994.1</v>
      </c>
      <c r="I87" s="2">
        <v>8290.1</v>
      </c>
      <c r="J87" s="2">
        <v>5703.9</v>
      </c>
      <c r="L87"/>
      <c r="M87"/>
    </row>
    <row r="88" spans="1:13" x14ac:dyDescent="0.45">
      <c r="A88" s="2" t="s">
        <v>123</v>
      </c>
      <c r="B88" s="2" t="s">
        <v>7</v>
      </c>
      <c r="C88" s="2" t="s">
        <v>8</v>
      </c>
      <c r="D88" s="2" t="s">
        <v>3</v>
      </c>
      <c r="E88" s="2" t="s">
        <v>4</v>
      </c>
      <c r="F88" s="2" t="s">
        <v>5</v>
      </c>
      <c r="G88" s="2">
        <v>2015</v>
      </c>
      <c r="H88" s="2">
        <v>22494.9</v>
      </c>
      <c r="I88" s="2">
        <v>10833.6</v>
      </c>
      <c r="J88" s="2">
        <v>11666.6</v>
      </c>
      <c r="L88"/>
      <c r="M88"/>
    </row>
    <row r="89" spans="1:13" x14ac:dyDescent="0.45">
      <c r="A89" s="2" t="s">
        <v>186</v>
      </c>
      <c r="B89" s="2" t="s">
        <v>1</v>
      </c>
      <c r="C89" s="2" t="s">
        <v>76</v>
      </c>
      <c r="D89" s="2" t="s">
        <v>11</v>
      </c>
      <c r="E89" s="2" t="s">
        <v>77</v>
      </c>
      <c r="F89" s="2" t="s">
        <v>5</v>
      </c>
      <c r="G89" s="2">
        <v>2010</v>
      </c>
      <c r="H89" s="2">
        <v>16969.400000000001</v>
      </c>
      <c r="I89" s="2">
        <v>10480.799999999999</v>
      </c>
      <c r="J89" s="2">
        <v>6497.7</v>
      </c>
      <c r="L89"/>
      <c r="M89"/>
    </row>
    <row r="90" spans="1:13" x14ac:dyDescent="0.45">
      <c r="A90" s="2" t="s">
        <v>423</v>
      </c>
      <c r="B90" s="2" t="s">
        <v>1</v>
      </c>
      <c r="C90" s="2" t="s">
        <v>76</v>
      </c>
      <c r="D90" s="2" t="s">
        <v>11</v>
      </c>
      <c r="E90" s="2" t="s">
        <v>4</v>
      </c>
      <c r="F90" s="2" t="s">
        <v>35</v>
      </c>
      <c r="G90" s="2">
        <v>2002</v>
      </c>
      <c r="H90" s="2">
        <v>9107.5</v>
      </c>
      <c r="I90" s="2">
        <v>8630.9</v>
      </c>
      <c r="J90" s="2">
        <v>487.3</v>
      </c>
      <c r="L90"/>
      <c r="M90"/>
    </row>
    <row r="91" spans="1:13" x14ac:dyDescent="0.45">
      <c r="A91" s="2" t="s">
        <v>538</v>
      </c>
      <c r="B91" s="2" t="s">
        <v>7</v>
      </c>
      <c r="C91" s="2" t="s">
        <v>2</v>
      </c>
      <c r="D91" s="2" t="s">
        <v>244</v>
      </c>
      <c r="E91" s="2" t="s">
        <v>9</v>
      </c>
      <c r="F91" s="2" t="s">
        <v>5</v>
      </c>
      <c r="G91" s="2">
        <v>1981</v>
      </c>
      <c r="H91" s="2">
        <v>7543.1</v>
      </c>
      <c r="I91" s="2">
        <v>7093.1</v>
      </c>
      <c r="J91" s="2">
        <v>450</v>
      </c>
      <c r="L91"/>
      <c r="M91"/>
    </row>
    <row r="92" spans="1:13" x14ac:dyDescent="0.45">
      <c r="A92" s="2" t="s">
        <v>384</v>
      </c>
      <c r="B92" s="2" t="s">
        <v>1</v>
      </c>
      <c r="C92" s="2" t="s">
        <v>20</v>
      </c>
      <c r="D92" s="2" t="s">
        <v>3</v>
      </c>
      <c r="E92" s="2" t="s">
        <v>4</v>
      </c>
      <c r="F92" s="2" t="s">
        <v>5</v>
      </c>
      <c r="G92" s="2">
        <v>2014</v>
      </c>
      <c r="H92" s="2">
        <v>10095.5</v>
      </c>
      <c r="I92" s="2">
        <v>6587</v>
      </c>
      <c r="J92" s="2">
        <v>3508.5</v>
      </c>
      <c r="L92"/>
      <c r="M92"/>
    </row>
    <row r="93" spans="1:13" x14ac:dyDescent="0.45">
      <c r="A93" s="2" t="s">
        <v>326</v>
      </c>
      <c r="B93" s="2" t="s">
        <v>1</v>
      </c>
      <c r="C93" s="2" t="s">
        <v>8</v>
      </c>
      <c r="D93" s="2" t="s">
        <v>3</v>
      </c>
      <c r="E93" s="2" t="s">
        <v>4</v>
      </c>
      <c r="F93" s="2" t="s">
        <v>5</v>
      </c>
      <c r="G93" s="2">
        <v>2012</v>
      </c>
      <c r="H93" s="2">
        <v>11475.1</v>
      </c>
      <c r="I93" s="2">
        <v>3956.3</v>
      </c>
      <c r="J93" s="2">
        <v>7518.7</v>
      </c>
      <c r="L93"/>
      <c r="M93"/>
    </row>
    <row r="94" spans="1:13" x14ac:dyDescent="0.45">
      <c r="A94" s="2" t="s">
        <v>467</v>
      </c>
      <c r="B94" s="2" t="s">
        <v>7</v>
      </c>
      <c r="C94" s="2" t="s">
        <v>8</v>
      </c>
      <c r="D94" s="2" t="s">
        <v>3</v>
      </c>
      <c r="E94" s="2" t="s">
        <v>9</v>
      </c>
      <c r="F94" s="2" t="s">
        <v>5</v>
      </c>
      <c r="G94" s="2">
        <v>2017</v>
      </c>
      <c r="H94" s="2">
        <v>8382.9</v>
      </c>
      <c r="I94" s="2">
        <v>8387.7999999999993</v>
      </c>
      <c r="J94" s="2">
        <v>0</v>
      </c>
      <c r="L94"/>
      <c r="M94"/>
    </row>
    <row r="95" spans="1:13" x14ac:dyDescent="0.45">
      <c r="A95" s="2" t="s">
        <v>230</v>
      </c>
      <c r="B95" s="2" t="s">
        <v>7</v>
      </c>
      <c r="C95" s="2" t="s">
        <v>20</v>
      </c>
      <c r="D95" s="2" t="s">
        <v>3</v>
      </c>
      <c r="E95" s="2" t="s">
        <v>9</v>
      </c>
      <c r="F95" s="2" t="s">
        <v>5</v>
      </c>
      <c r="G95" s="2">
        <v>2008</v>
      </c>
      <c r="H95" s="2">
        <v>14544.4</v>
      </c>
      <c r="I95" s="2">
        <v>10175.299999999999</v>
      </c>
      <c r="J95" s="2">
        <v>4376</v>
      </c>
      <c r="L95"/>
      <c r="M95"/>
    </row>
    <row r="96" spans="1:13" x14ac:dyDescent="0.45">
      <c r="A96" s="2" t="s">
        <v>165</v>
      </c>
      <c r="B96" s="2" t="s">
        <v>1</v>
      </c>
      <c r="C96" s="2" t="s">
        <v>8</v>
      </c>
      <c r="D96" s="2" t="s">
        <v>3</v>
      </c>
      <c r="E96" s="2" t="s">
        <v>9</v>
      </c>
      <c r="F96" s="2" t="s">
        <v>5</v>
      </c>
      <c r="G96" s="2">
        <v>2015</v>
      </c>
      <c r="H96" s="2">
        <v>18309.3</v>
      </c>
      <c r="I96" s="2">
        <v>14642.3</v>
      </c>
      <c r="J96" s="2">
        <v>3673.3</v>
      </c>
      <c r="L96"/>
      <c r="M96"/>
    </row>
    <row r="97" spans="1:13" x14ac:dyDescent="0.45">
      <c r="A97" s="2" t="s">
        <v>406</v>
      </c>
      <c r="B97" s="2" t="s">
        <v>1</v>
      </c>
      <c r="C97" s="2" t="s">
        <v>81</v>
      </c>
      <c r="D97" s="2" t="s">
        <v>3</v>
      </c>
      <c r="E97" s="2" t="s">
        <v>14</v>
      </c>
      <c r="F97" s="2" t="s">
        <v>35</v>
      </c>
      <c r="G97" s="2">
        <v>2014</v>
      </c>
      <c r="H97" s="2">
        <v>9513</v>
      </c>
      <c r="I97" s="2">
        <v>9329.2999999999993</v>
      </c>
      <c r="J97" s="2">
        <v>185.8</v>
      </c>
      <c r="L97"/>
      <c r="M97"/>
    </row>
    <row r="98" spans="1:13" x14ac:dyDescent="0.45">
      <c r="A98" s="2" t="s">
        <v>349</v>
      </c>
      <c r="B98" s="2" t="s">
        <v>1</v>
      </c>
      <c r="C98" s="2" t="s">
        <v>8</v>
      </c>
      <c r="D98" s="2" t="s">
        <v>11</v>
      </c>
      <c r="E98" s="2" t="s">
        <v>12</v>
      </c>
      <c r="F98" s="2" t="s">
        <v>5</v>
      </c>
      <c r="G98" s="2">
        <v>1999</v>
      </c>
      <c r="H98" s="2">
        <v>10776.2</v>
      </c>
      <c r="I98" s="2">
        <v>10712.5</v>
      </c>
      <c r="J98" s="2">
        <v>63.9</v>
      </c>
      <c r="L98"/>
      <c r="M98"/>
    </row>
    <row r="99" spans="1:13" x14ac:dyDescent="0.45">
      <c r="A99" s="2" t="s">
        <v>271</v>
      </c>
      <c r="B99" s="2" t="s">
        <v>1</v>
      </c>
      <c r="C99" s="2" t="s">
        <v>8</v>
      </c>
      <c r="D99" s="2" t="s">
        <v>3</v>
      </c>
      <c r="E99" s="2" t="s">
        <v>4</v>
      </c>
      <c r="F99" s="2" t="s">
        <v>5</v>
      </c>
      <c r="G99" s="2">
        <v>2008</v>
      </c>
      <c r="H99" s="2">
        <v>13281.8</v>
      </c>
      <c r="I99" s="2">
        <v>12309.2</v>
      </c>
      <c r="J99" s="2">
        <v>978.1</v>
      </c>
      <c r="L99"/>
      <c r="M99"/>
    </row>
    <row r="100" spans="1:13" x14ac:dyDescent="0.45">
      <c r="A100" s="2" t="s">
        <v>40</v>
      </c>
      <c r="B100" s="2" t="s">
        <v>1</v>
      </c>
      <c r="C100" s="2" t="s">
        <v>8</v>
      </c>
      <c r="D100" s="2" t="s">
        <v>3</v>
      </c>
      <c r="E100" s="2" t="s">
        <v>14</v>
      </c>
      <c r="F100" s="2" t="s">
        <v>5</v>
      </c>
      <c r="G100" s="2">
        <v>2005</v>
      </c>
      <c r="H100" s="2">
        <v>43963.8</v>
      </c>
      <c r="I100" s="2">
        <v>24455.7</v>
      </c>
      <c r="J100" s="2">
        <v>19523.900000000001</v>
      </c>
      <c r="L100"/>
      <c r="M100"/>
    </row>
    <row r="101" spans="1:13" x14ac:dyDescent="0.45">
      <c r="A101" s="2" t="s">
        <v>315</v>
      </c>
      <c r="B101" s="2" t="s">
        <v>1</v>
      </c>
      <c r="C101" s="2" t="s">
        <v>8</v>
      </c>
      <c r="D101" s="2" t="s">
        <v>3</v>
      </c>
      <c r="E101" s="2" t="s">
        <v>85</v>
      </c>
      <c r="F101" s="2" t="s">
        <v>5</v>
      </c>
      <c r="G101" s="2">
        <v>2015</v>
      </c>
      <c r="H101" s="2">
        <v>11678.7</v>
      </c>
      <c r="I101" s="2">
        <v>9802.2000000000007</v>
      </c>
      <c r="J101" s="2">
        <v>1883.1</v>
      </c>
      <c r="L101"/>
      <c r="M101"/>
    </row>
    <row r="102" spans="1:13" x14ac:dyDescent="0.45">
      <c r="A102" s="2" t="s">
        <v>261</v>
      </c>
      <c r="B102" s="2" t="s">
        <v>1</v>
      </c>
      <c r="C102" s="2" t="s">
        <v>76</v>
      </c>
      <c r="D102" s="2" t="s">
        <v>11</v>
      </c>
      <c r="E102" s="2" t="s">
        <v>77</v>
      </c>
      <c r="F102" s="2" t="s">
        <v>5</v>
      </c>
      <c r="G102" s="2">
        <v>2016</v>
      </c>
      <c r="H102" s="2">
        <v>13503.4</v>
      </c>
      <c r="I102" s="2">
        <v>9602.2999999999993</v>
      </c>
      <c r="J102" s="2">
        <v>3932.5</v>
      </c>
      <c r="L102"/>
      <c r="M102"/>
    </row>
    <row r="103" spans="1:13" x14ac:dyDescent="0.45">
      <c r="A103" s="2" t="s">
        <v>338</v>
      </c>
      <c r="B103" s="2" t="s">
        <v>7</v>
      </c>
      <c r="C103" s="2" t="s">
        <v>8</v>
      </c>
      <c r="D103" s="2" t="s">
        <v>3</v>
      </c>
      <c r="E103" s="2" t="s">
        <v>9</v>
      </c>
      <c r="F103" s="2" t="s">
        <v>5</v>
      </c>
      <c r="G103" s="2">
        <v>1999</v>
      </c>
      <c r="H103" s="2">
        <v>11060.5</v>
      </c>
      <c r="I103" s="2">
        <v>6055.9</v>
      </c>
      <c r="J103" s="2">
        <v>5004.6000000000004</v>
      </c>
      <c r="L103"/>
      <c r="M103"/>
    </row>
    <row r="104" spans="1:13" x14ac:dyDescent="0.45">
      <c r="A104" s="2" t="s">
        <v>270</v>
      </c>
      <c r="B104" s="2" t="s">
        <v>65</v>
      </c>
      <c r="C104" s="2" t="s">
        <v>8</v>
      </c>
      <c r="D104" s="2" t="s">
        <v>3</v>
      </c>
      <c r="E104" s="2" t="s">
        <v>44</v>
      </c>
      <c r="F104" s="2" t="s">
        <v>35</v>
      </c>
      <c r="G104" s="2">
        <v>2008</v>
      </c>
      <c r="H104" s="2">
        <v>13287</v>
      </c>
      <c r="I104" s="2">
        <v>13294.9</v>
      </c>
      <c r="J104" s="2">
        <v>0</v>
      </c>
      <c r="L104"/>
      <c r="M104"/>
    </row>
    <row r="105" spans="1:13" x14ac:dyDescent="0.45">
      <c r="A105" s="2" t="s">
        <v>437</v>
      </c>
      <c r="B105" s="2" t="s">
        <v>7</v>
      </c>
      <c r="C105" s="2" t="s">
        <v>8</v>
      </c>
      <c r="D105" s="2" t="s">
        <v>3</v>
      </c>
      <c r="E105" s="2" t="s">
        <v>9</v>
      </c>
      <c r="F105" s="2" t="s">
        <v>5</v>
      </c>
      <c r="G105" s="2">
        <v>2012</v>
      </c>
      <c r="H105" s="2">
        <v>8831</v>
      </c>
      <c r="I105" s="2">
        <v>6995.1</v>
      </c>
      <c r="J105" s="2">
        <v>1840.3</v>
      </c>
      <c r="L105"/>
      <c r="M105"/>
    </row>
    <row r="106" spans="1:13" x14ac:dyDescent="0.45">
      <c r="A106" s="2" t="s">
        <v>357</v>
      </c>
      <c r="B106" s="2" t="s">
        <v>65</v>
      </c>
      <c r="C106" s="2" t="s">
        <v>20</v>
      </c>
      <c r="D106" s="2" t="s">
        <v>3</v>
      </c>
      <c r="E106" s="2" t="s">
        <v>9</v>
      </c>
      <c r="F106" s="2" t="s">
        <v>35</v>
      </c>
      <c r="G106" s="2">
        <v>2012</v>
      </c>
      <c r="H106" s="2">
        <v>10711.2</v>
      </c>
      <c r="I106" s="2">
        <v>10381.4</v>
      </c>
      <c r="J106" s="2">
        <v>333.5</v>
      </c>
      <c r="L106"/>
      <c r="M106"/>
    </row>
    <row r="107" spans="1:13" x14ac:dyDescent="0.45">
      <c r="A107" s="2" t="s">
        <v>37</v>
      </c>
      <c r="B107" s="2" t="s">
        <v>1</v>
      </c>
      <c r="C107" s="2" t="s">
        <v>20</v>
      </c>
      <c r="D107" s="2" t="s">
        <v>3</v>
      </c>
      <c r="E107" s="2" t="s">
        <v>38</v>
      </c>
      <c r="F107" s="2" t="s">
        <v>35</v>
      </c>
      <c r="G107" s="2">
        <v>1999</v>
      </c>
      <c r="H107" s="2">
        <v>46720.4</v>
      </c>
      <c r="I107" s="2">
        <v>42837.1</v>
      </c>
      <c r="J107" s="2">
        <v>3901.3</v>
      </c>
      <c r="L107"/>
      <c r="M107"/>
    </row>
    <row r="108" spans="1:13" x14ac:dyDescent="0.45">
      <c r="A108" s="2" t="s">
        <v>369</v>
      </c>
      <c r="B108" s="2" t="s">
        <v>1</v>
      </c>
      <c r="C108" s="2" t="s">
        <v>8</v>
      </c>
      <c r="D108" s="2" t="s">
        <v>3</v>
      </c>
      <c r="E108" s="2" t="s">
        <v>9</v>
      </c>
      <c r="F108" s="2" t="s">
        <v>5</v>
      </c>
      <c r="G108" s="2">
        <v>2017</v>
      </c>
      <c r="H108" s="2">
        <v>10313.5</v>
      </c>
      <c r="I108" s="2">
        <v>10145.1</v>
      </c>
      <c r="J108" s="2">
        <v>172</v>
      </c>
      <c r="L108"/>
      <c r="M108"/>
    </row>
    <row r="109" spans="1:13" x14ac:dyDescent="0.45">
      <c r="A109" s="2" t="s">
        <v>329</v>
      </c>
      <c r="B109" s="2" t="s">
        <v>1</v>
      </c>
      <c r="C109" s="2" t="s">
        <v>8</v>
      </c>
      <c r="D109" s="2" t="s">
        <v>3</v>
      </c>
      <c r="E109" s="2" t="s">
        <v>38</v>
      </c>
      <c r="F109" s="2" t="s">
        <v>35</v>
      </c>
      <c r="G109" s="2">
        <v>1968</v>
      </c>
      <c r="H109" s="2">
        <v>11314.2</v>
      </c>
      <c r="I109" s="2">
        <v>11274.4</v>
      </c>
      <c r="J109" s="2">
        <v>44.7</v>
      </c>
      <c r="L109"/>
      <c r="M109"/>
    </row>
    <row r="110" spans="1:13" x14ac:dyDescent="0.45">
      <c r="A110" s="2" t="s">
        <v>321</v>
      </c>
      <c r="B110" s="2" t="s">
        <v>1</v>
      </c>
      <c r="C110" s="2" t="s">
        <v>322</v>
      </c>
      <c r="D110" s="2" t="s">
        <v>11</v>
      </c>
      <c r="E110" s="2" t="s">
        <v>12</v>
      </c>
      <c r="F110" s="2" t="s">
        <v>5</v>
      </c>
      <c r="G110" s="2">
        <v>2019</v>
      </c>
      <c r="H110" s="2">
        <v>11566.2</v>
      </c>
      <c r="I110" s="2">
        <v>7224.2</v>
      </c>
      <c r="J110" s="2">
        <v>4349.3999999999996</v>
      </c>
      <c r="L110"/>
      <c r="M110"/>
    </row>
    <row r="111" spans="1:13" x14ac:dyDescent="0.45">
      <c r="A111" s="2" t="s">
        <v>143</v>
      </c>
      <c r="B111" s="2" t="s">
        <v>1</v>
      </c>
      <c r="C111" s="2" t="s">
        <v>8</v>
      </c>
      <c r="D111" s="2" t="s">
        <v>3</v>
      </c>
      <c r="E111" s="2" t="s">
        <v>4</v>
      </c>
      <c r="F111" s="2" t="s">
        <v>5</v>
      </c>
      <c r="G111" s="2">
        <v>2015</v>
      </c>
      <c r="H111" s="2">
        <v>19977.5</v>
      </c>
      <c r="I111" s="2">
        <v>9365.1</v>
      </c>
      <c r="J111" s="2">
        <v>10617.1</v>
      </c>
      <c r="L111"/>
      <c r="M111"/>
    </row>
    <row r="112" spans="1:13" x14ac:dyDescent="0.45">
      <c r="A112" s="2" t="s">
        <v>49</v>
      </c>
      <c r="B112" s="2" t="s">
        <v>1</v>
      </c>
      <c r="C112" s="2" t="s">
        <v>8</v>
      </c>
      <c r="D112" s="2" t="s">
        <v>11</v>
      </c>
      <c r="E112" s="2" t="s">
        <v>12</v>
      </c>
      <c r="F112" s="2" t="s">
        <v>5</v>
      </c>
      <c r="G112" s="2">
        <v>1991</v>
      </c>
      <c r="H112" s="2">
        <v>41405.4</v>
      </c>
      <c r="I112" s="2">
        <v>19772.099999999999</v>
      </c>
      <c r="J112" s="2">
        <v>21650</v>
      </c>
      <c r="L112"/>
      <c r="M112"/>
    </row>
    <row r="113" spans="1:13" x14ac:dyDescent="0.45">
      <c r="A113" s="2" t="s">
        <v>179</v>
      </c>
      <c r="B113" s="2" t="s">
        <v>1</v>
      </c>
      <c r="C113" s="2" t="s">
        <v>46</v>
      </c>
      <c r="D113" s="2" t="s">
        <v>3</v>
      </c>
      <c r="E113" s="2" t="s">
        <v>47</v>
      </c>
      <c r="F113" s="2" t="s">
        <v>35</v>
      </c>
      <c r="G113" s="2">
        <v>1994</v>
      </c>
      <c r="H113" s="2">
        <v>17316.599999999999</v>
      </c>
      <c r="I113" s="2">
        <v>10309.700000000001</v>
      </c>
      <c r="J113" s="2">
        <v>7013.9</v>
      </c>
      <c r="L113"/>
      <c r="M113"/>
    </row>
    <row r="114" spans="1:13" x14ac:dyDescent="0.45">
      <c r="A114" s="2" t="s">
        <v>388</v>
      </c>
      <c r="B114" s="2" t="s">
        <v>1</v>
      </c>
      <c r="C114" s="2" t="s">
        <v>8</v>
      </c>
      <c r="D114" s="2" t="s">
        <v>11</v>
      </c>
      <c r="E114" s="2" t="s">
        <v>12</v>
      </c>
      <c r="F114" s="2" t="s">
        <v>5</v>
      </c>
      <c r="G114" s="2">
        <v>2014</v>
      </c>
      <c r="H114" s="2">
        <v>9948.7000000000007</v>
      </c>
      <c r="I114" s="2">
        <v>4105.3</v>
      </c>
      <c r="J114" s="2">
        <v>5843.4</v>
      </c>
      <c r="L114"/>
      <c r="M114"/>
    </row>
    <row r="115" spans="1:13" x14ac:dyDescent="0.45">
      <c r="A115" s="2" t="s">
        <v>204</v>
      </c>
      <c r="B115" s="2" t="s">
        <v>1</v>
      </c>
      <c r="C115" s="2" t="s">
        <v>2</v>
      </c>
      <c r="D115" s="2" t="s">
        <v>3</v>
      </c>
      <c r="E115" s="2" t="s">
        <v>14</v>
      </c>
      <c r="F115" s="2" t="s">
        <v>5</v>
      </c>
      <c r="G115" s="2">
        <v>2014</v>
      </c>
      <c r="H115" s="2">
        <v>15876.2</v>
      </c>
      <c r="I115" s="2">
        <v>12905.1</v>
      </c>
      <c r="J115" s="2">
        <v>2982.4</v>
      </c>
      <c r="L115"/>
      <c r="M115"/>
    </row>
    <row r="116" spans="1:13" x14ac:dyDescent="0.45">
      <c r="A116" s="2" t="s">
        <v>372</v>
      </c>
      <c r="B116" s="2" t="s">
        <v>1</v>
      </c>
      <c r="C116" s="2" t="s">
        <v>373</v>
      </c>
      <c r="D116" s="2" t="s">
        <v>11</v>
      </c>
      <c r="E116" s="2" t="s">
        <v>69</v>
      </c>
      <c r="F116" s="2" t="s">
        <v>5</v>
      </c>
      <c r="G116" s="2">
        <v>2009</v>
      </c>
      <c r="H116" s="2">
        <v>10234.299999999999</v>
      </c>
      <c r="I116" s="2">
        <v>8102.5</v>
      </c>
      <c r="J116" s="2">
        <v>2138.3000000000002</v>
      </c>
      <c r="L116"/>
      <c r="M116"/>
    </row>
    <row r="117" spans="1:13" x14ac:dyDescent="0.45">
      <c r="A117" s="2" t="s">
        <v>350</v>
      </c>
      <c r="B117" s="2" t="s">
        <v>1</v>
      </c>
      <c r="C117" s="2" t="s">
        <v>8</v>
      </c>
      <c r="D117" s="2" t="s">
        <v>11</v>
      </c>
      <c r="E117" s="2" t="s">
        <v>12</v>
      </c>
      <c r="F117" s="2" t="s">
        <v>5</v>
      </c>
      <c r="G117" s="2">
        <v>2010</v>
      </c>
      <c r="H117" s="2">
        <v>10772</v>
      </c>
      <c r="I117" s="2">
        <v>595.6</v>
      </c>
      <c r="J117" s="2">
        <v>10180.6</v>
      </c>
      <c r="L117"/>
      <c r="M117"/>
    </row>
    <row r="118" spans="1:13" x14ac:dyDescent="0.45">
      <c r="A118" s="2" t="s">
        <v>445</v>
      </c>
      <c r="B118" s="2" t="s">
        <v>1</v>
      </c>
      <c r="C118" s="2" t="s">
        <v>20</v>
      </c>
      <c r="D118" s="2" t="s">
        <v>3</v>
      </c>
      <c r="E118" s="2" t="s">
        <v>4</v>
      </c>
      <c r="F118" s="2" t="s">
        <v>5</v>
      </c>
      <c r="G118" s="2">
        <v>2015</v>
      </c>
      <c r="H118" s="2">
        <v>8715.2000000000007</v>
      </c>
      <c r="I118" s="2">
        <v>7648.8</v>
      </c>
      <c r="J118" s="2">
        <v>1071.5999999999999</v>
      </c>
      <c r="L118"/>
      <c r="M118"/>
    </row>
    <row r="119" spans="1:13" x14ac:dyDescent="0.45">
      <c r="A119" s="2" t="s">
        <v>358</v>
      </c>
      <c r="B119" s="2" t="s">
        <v>1</v>
      </c>
      <c r="C119" s="2" t="s">
        <v>20</v>
      </c>
      <c r="D119" s="2" t="s">
        <v>3</v>
      </c>
      <c r="E119" s="2" t="s">
        <v>38</v>
      </c>
      <c r="F119" s="2" t="s">
        <v>5</v>
      </c>
      <c r="G119" s="2">
        <v>1967</v>
      </c>
      <c r="H119" s="2">
        <v>10696.6</v>
      </c>
      <c r="I119" s="2">
        <v>8379.6</v>
      </c>
      <c r="J119" s="2">
        <v>2317</v>
      </c>
      <c r="L119"/>
      <c r="M119"/>
    </row>
    <row r="120" spans="1:13" x14ac:dyDescent="0.45">
      <c r="A120" s="2" t="s">
        <v>45</v>
      </c>
      <c r="B120" s="2" t="s">
        <v>1</v>
      </c>
      <c r="C120" s="2" t="s">
        <v>46</v>
      </c>
      <c r="D120" s="2" t="s">
        <v>3</v>
      </c>
      <c r="E120" s="2" t="s">
        <v>47</v>
      </c>
      <c r="F120" s="2" t="s">
        <v>5</v>
      </c>
      <c r="G120" s="2">
        <v>1990</v>
      </c>
      <c r="H120" s="2">
        <v>42059.5</v>
      </c>
      <c r="I120" s="2">
        <v>30750.799999999999</v>
      </c>
      <c r="J120" s="2">
        <v>11325.3</v>
      </c>
      <c r="L120"/>
      <c r="M120"/>
    </row>
    <row r="121" spans="1:13" x14ac:dyDescent="0.45">
      <c r="A121" s="2" t="s">
        <v>366</v>
      </c>
      <c r="B121" s="2" t="s">
        <v>1</v>
      </c>
      <c r="C121" s="2" t="s">
        <v>8</v>
      </c>
      <c r="D121" s="2" t="s">
        <v>11</v>
      </c>
      <c r="E121" s="2" t="s">
        <v>12</v>
      </c>
      <c r="F121" s="2" t="s">
        <v>5</v>
      </c>
      <c r="G121" s="2">
        <v>2004</v>
      </c>
      <c r="H121" s="2">
        <v>10352.799999999999</v>
      </c>
      <c r="I121" s="2">
        <v>1937.7</v>
      </c>
      <c r="J121" s="2">
        <v>8415.1</v>
      </c>
      <c r="L121"/>
      <c r="M121"/>
    </row>
    <row r="122" spans="1:13" x14ac:dyDescent="0.45">
      <c r="A122" s="2" t="s">
        <v>436</v>
      </c>
      <c r="B122" s="2" t="s">
        <v>1</v>
      </c>
      <c r="C122" s="2" t="s">
        <v>8</v>
      </c>
      <c r="D122" s="2" t="s">
        <v>3</v>
      </c>
      <c r="E122" s="2" t="s">
        <v>278</v>
      </c>
      <c r="F122" s="2" t="s">
        <v>35</v>
      </c>
      <c r="G122" s="2">
        <v>1995</v>
      </c>
      <c r="H122" s="2">
        <v>8848.2999999999993</v>
      </c>
      <c r="I122" s="2">
        <v>8855.1</v>
      </c>
      <c r="J122" s="2">
        <v>0</v>
      </c>
      <c r="L122"/>
      <c r="M122"/>
    </row>
    <row r="123" spans="1:13" x14ac:dyDescent="0.45">
      <c r="A123" s="2" t="s">
        <v>181</v>
      </c>
      <c r="B123" s="2" t="s">
        <v>7</v>
      </c>
      <c r="C123" s="2" t="s">
        <v>8</v>
      </c>
      <c r="D123" s="2" t="s">
        <v>3</v>
      </c>
      <c r="E123" s="2" t="s">
        <v>9</v>
      </c>
      <c r="F123" s="2" t="s">
        <v>5</v>
      </c>
      <c r="G123" s="2">
        <v>2008</v>
      </c>
      <c r="H123" s="2">
        <v>17119.5</v>
      </c>
      <c r="I123" s="2">
        <v>11625.6</v>
      </c>
      <c r="J123" s="2">
        <v>5498.6</v>
      </c>
      <c r="L123"/>
      <c r="M123"/>
    </row>
    <row r="124" spans="1:13" x14ac:dyDescent="0.45">
      <c r="A124" s="2" t="s">
        <v>114</v>
      </c>
      <c r="B124" s="2" t="s">
        <v>1</v>
      </c>
      <c r="C124" s="2" t="s">
        <v>115</v>
      </c>
      <c r="D124" s="2" t="s">
        <v>116</v>
      </c>
      <c r="E124" s="2" t="s">
        <v>117</v>
      </c>
      <c r="F124" s="2" t="s">
        <v>35</v>
      </c>
      <c r="G124" s="2">
        <v>1979</v>
      </c>
      <c r="H124" s="2">
        <v>24607</v>
      </c>
      <c r="I124" s="2">
        <v>24525.4</v>
      </c>
      <c r="J124" s="2">
        <v>81.599999999999994</v>
      </c>
      <c r="L124"/>
      <c r="M124"/>
    </row>
    <row r="125" spans="1:13" x14ac:dyDescent="0.45">
      <c r="A125" s="2" t="s">
        <v>135</v>
      </c>
      <c r="B125" s="2" t="s">
        <v>1</v>
      </c>
      <c r="C125" s="2" t="s">
        <v>8</v>
      </c>
      <c r="D125" s="2" t="s">
        <v>3</v>
      </c>
      <c r="E125" s="2" t="s">
        <v>47</v>
      </c>
      <c r="F125" s="2" t="s">
        <v>5</v>
      </c>
      <c r="G125" s="2">
        <v>2002</v>
      </c>
      <c r="H125" s="2">
        <v>20670.8</v>
      </c>
      <c r="I125" s="2">
        <v>5352.4</v>
      </c>
      <c r="J125" s="2">
        <v>15318.4</v>
      </c>
      <c r="L125"/>
      <c r="M125"/>
    </row>
    <row r="126" spans="1:13" x14ac:dyDescent="0.45">
      <c r="A126" s="2" t="s">
        <v>508</v>
      </c>
      <c r="B126" s="2" t="s">
        <v>1</v>
      </c>
      <c r="C126" s="2" t="s">
        <v>20</v>
      </c>
      <c r="D126" s="2" t="s">
        <v>3</v>
      </c>
      <c r="E126" s="2" t="s">
        <v>38</v>
      </c>
      <c r="F126" s="2" t="s">
        <v>35</v>
      </c>
      <c r="G126" s="2">
        <v>1978</v>
      </c>
      <c r="H126" s="2">
        <v>7891.3</v>
      </c>
      <c r="I126" s="2">
        <v>7595.8</v>
      </c>
      <c r="J126" s="2">
        <v>298.7</v>
      </c>
      <c r="L126"/>
      <c r="M126"/>
    </row>
    <row r="127" spans="1:13" x14ac:dyDescent="0.45">
      <c r="A127" s="2" t="s">
        <v>517</v>
      </c>
      <c r="B127" s="2" t="s">
        <v>1</v>
      </c>
      <c r="C127" s="2" t="s">
        <v>20</v>
      </c>
      <c r="D127" s="2" t="s">
        <v>3</v>
      </c>
      <c r="E127" s="2" t="s">
        <v>47</v>
      </c>
      <c r="F127" s="2" t="s">
        <v>35</v>
      </c>
      <c r="G127" s="2">
        <v>2010</v>
      </c>
      <c r="H127" s="2">
        <v>7787.8</v>
      </c>
      <c r="I127" s="2">
        <v>5988.8</v>
      </c>
      <c r="J127" s="2">
        <v>1801.6</v>
      </c>
      <c r="L127"/>
      <c r="M127"/>
    </row>
    <row r="128" spans="1:13" x14ac:dyDescent="0.45">
      <c r="A128" s="2" t="s">
        <v>125</v>
      </c>
      <c r="B128" s="2" t="s">
        <v>65</v>
      </c>
      <c r="C128" s="2" t="s">
        <v>8</v>
      </c>
      <c r="D128" s="2" t="s">
        <v>3</v>
      </c>
      <c r="E128" s="2" t="s">
        <v>126</v>
      </c>
      <c r="F128" s="2" t="s">
        <v>35</v>
      </c>
      <c r="G128" s="2">
        <v>1949</v>
      </c>
      <c r="H128" s="2">
        <v>22236.1</v>
      </c>
      <c r="I128" s="2">
        <v>287.8</v>
      </c>
      <c r="J128" s="2">
        <v>21966.6</v>
      </c>
      <c r="L128"/>
      <c r="M128"/>
    </row>
    <row r="129" spans="1:13" x14ac:dyDescent="0.45">
      <c r="A129" s="2" t="s">
        <v>530</v>
      </c>
      <c r="B129" s="2" t="s">
        <v>1</v>
      </c>
      <c r="C129" s="2" t="s">
        <v>8</v>
      </c>
      <c r="D129" s="2" t="s">
        <v>3</v>
      </c>
      <c r="E129" s="2" t="s">
        <v>278</v>
      </c>
      <c r="F129" s="2" t="s">
        <v>35</v>
      </c>
      <c r="G129" s="2">
        <v>2000</v>
      </c>
      <c r="H129" s="2">
        <v>7612.3</v>
      </c>
      <c r="I129" s="2">
        <v>7614.9</v>
      </c>
      <c r="J129" s="2">
        <v>0</v>
      </c>
      <c r="L129"/>
      <c r="M129"/>
    </row>
    <row r="130" spans="1:13" x14ac:dyDescent="0.45">
      <c r="A130" s="2" t="s">
        <v>333</v>
      </c>
      <c r="B130" s="2" t="s">
        <v>1</v>
      </c>
      <c r="C130" s="2" t="s">
        <v>8</v>
      </c>
      <c r="D130" s="2" t="s">
        <v>3</v>
      </c>
      <c r="E130" s="2" t="s">
        <v>4</v>
      </c>
      <c r="F130" s="2" t="s">
        <v>5</v>
      </c>
      <c r="G130" s="2">
        <v>2006</v>
      </c>
      <c r="H130" s="2">
        <v>11196</v>
      </c>
      <c r="I130" s="2">
        <v>10287.700000000001</v>
      </c>
      <c r="J130" s="2">
        <v>910.9</v>
      </c>
      <c r="L130"/>
      <c r="M130"/>
    </row>
    <row r="131" spans="1:13" x14ac:dyDescent="0.45">
      <c r="A131" s="2" t="s">
        <v>440</v>
      </c>
      <c r="B131" s="2" t="s">
        <v>1</v>
      </c>
      <c r="C131" s="2" t="s">
        <v>8</v>
      </c>
      <c r="D131" s="2" t="s">
        <v>11</v>
      </c>
      <c r="E131" s="2" t="s">
        <v>12</v>
      </c>
      <c r="F131" s="2" t="s">
        <v>5</v>
      </c>
      <c r="G131" s="2">
        <v>2010</v>
      </c>
      <c r="H131" s="2">
        <v>8801.6</v>
      </c>
      <c r="I131" s="2">
        <v>1220.5999999999999</v>
      </c>
      <c r="J131" s="2">
        <v>7581</v>
      </c>
      <c r="L131"/>
      <c r="M131"/>
    </row>
    <row r="132" spans="1:13" x14ac:dyDescent="0.45">
      <c r="A132" s="2" t="s">
        <v>203</v>
      </c>
      <c r="B132" s="2" t="s">
        <v>1</v>
      </c>
      <c r="C132" s="2" t="s">
        <v>46</v>
      </c>
      <c r="D132" s="2" t="s">
        <v>3</v>
      </c>
      <c r="E132" s="2" t="s">
        <v>47</v>
      </c>
      <c r="F132" s="2" t="s">
        <v>5</v>
      </c>
      <c r="G132" s="2">
        <v>2013</v>
      </c>
      <c r="H132" s="2">
        <v>15921.1</v>
      </c>
      <c r="I132" s="2">
        <v>12030.1</v>
      </c>
      <c r="J132" s="2">
        <v>3896.3</v>
      </c>
      <c r="L132"/>
      <c r="M132"/>
    </row>
    <row r="133" spans="1:13" x14ac:dyDescent="0.45">
      <c r="A133" s="2" t="s">
        <v>82</v>
      </c>
      <c r="B133" s="2" t="s">
        <v>7</v>
      </c>
      <c r="C133" s="2" t="s">
        <v>8</v>
      </c>
      <c r="D133" s="2" t="s">
        <v>3</v>
      </c>
      <c r="E133" s="2" t="s">
        <v>9</v>
      </c>
      <c r="F133" s="2" t="s">
        <v>5</v>
      </c>
      <c r="G133" s="2">
        <v>2012</v>
      </c>
      <c r="H133" s="2">
        <v>31214.3</v>
      </c>
      <c r="I133" s="2">
        <v>25574.2</v>
      </c>
      <c r="J133" s="2">
        <v>5650.9</v>
      </c>
      <c r="L133"/>
      <c r="M133"/>
    </row>
    <row r="134" spans="1:13" x14ac:dyDescent="0.45">
      <c r="A134" s="2" t="s">
        <v>541</v>
      </c>
      <c r="B134" s="2" t="s">
        <v>1</v>
      </c>
      <c r="C134" s="2" t="s">
        <v>8</v>
      </c>
      <c r="D134" s="2" t="s">
        <v>3</v>
      </c>
      <c r="E134" s="2" t="s">
        <v>44</v>
      </c>
      <c r="F134" s="2" t="s">
        <v>5</v>
      </c>
      <c r="G134" s="2">
        <v>2017</v>
      </c>
      <c r="H134" s="2">
        <v>7485.1</v>
      </c>
      <c r="I134" s="2">
        <v>6757.7</v>
      </c>
      <c r="J134" s="2">
        <v>735.7</v>
      </c>
      <c r="L134"/>
      <c r="M134"/>
    </row>
    <row r="135" spans="1:13" x14ac:dyDescent="0.45">
      <c r="A135" s="2" t="s">
        <v>163</v>
      </c>
      <c r="B135" s="2" t="s">
        <v>1</v>
      </c>
      <c r="C135" s="2" t="s">
        <v>8</v>
      </c>
      <c r="D135" s="2" t="s">
        <v>11</v>
      </c>
      <c r="E135" s="2" t="s">
        <v>12</v>
      </c>
      <c r="F135" s="2" t="s">
        <v>5</v>
      </c>
      <c r="G135" s="2">
        <v>2003</v>
      </c>
      <c r="H135" s="2">
        <v>18580.599999999999</v>
      </c>
      <c r="I135" s="2">
        <v>14990.8</v>
      </c>
      <c r="J135" s="2">
        <v>3601.2</v>
      </c>
      <c r="L135"/>
      <c r="M135"/>
    </row>
    <row r="136" spans="1:13" x14ac:dyDescent="0.45">
      <c r="A136" s="2" t="s">
        <v>144</v>
      </c>
      <c r="B136" s="2" t="s">
        <v>1</v>
      </c>
      <c r="C136" s="2" t="s">
        <v>8</v>
      </c>
      <c r="D136" s="2" t="s">
        <v>3</v>
      </c>
      <c r="E136" s="2" t="s">
        <v>4</v>
      </c>
      <c r="F136" s="2" t="s">
        <v>5</v>
      </c>
      <c r="G136" s="2">
        <v>2017</v>
      </c>
      <c r="H136" s="2">
        <v>19830.5</v>
      </c>
      <c r="I136" s="2">
        <v>12351.9</v>
      </c>
      <c r="J136" s="2">
        <v>7494</v>
      </c>
      <c r="L136"/>
      <c r="M136"/>
    </row>
    <row r="137" spans="1:13" x14ac:dyDescent="0.45">
      <c r="A137" s="2" t="s">
        <v>268</v>
      </c>
      <c r="B137" s="2" t="s">
        <v>1</v>
      </c>
      <c r="C137" s="2" t="s">
        <v>8</v>
      </c>
      <c r="D137" s="2" t="s">
        <v>3</v>
      </c>
      <c r="E137" s="2" t="s">
        <v>4</v>
      </c>
      <c r="F137" s="2" t="s">
        <v>5</v>
      </c>
      <c r="G137" s="2">
        <v>1984</v>
      </c>
      <c r="H137" s="2">
        <v>13320.3</v>
      </c>
      <c r="I137" s="2">
        <v>8568.7000000000007</v>
      </c>
      <c r="J137" s="2">
        <v>4756.2</v>
      </c>
      <c r="L137"/>
      <c r="M137"/>
    </row>
    <row r="138" spans="1:13" x14ac:dyDescent="0.45">
      <c r="A138" s="2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5</v>
      </c>
      <c r="G138" s="2">
        <v>2006</v>
      </c>
      <c r="H138" s="2">
        <v>137492.1</v>
      </c>
      <c r="I138" s="2">
        <v>94851.1</v>
      </c>
      <c r="J138" s="2">
        <v>42640.9</v>
      </c>
      <c r="L138"/>
      <c r="M138"/>
    </row>
    <row r="139" spans="1:13" x14ac:dyDescent="0.45">
      <c r="A139" s="2" t="s">
        <v>48</v>
      </c>
      <c r="B139" s="2" t="s">
        <v>7</v>
      </c>
      <c r="C139" s="2" t="s">
        <v>20</v>
      </c>
      <c r="D139" s="2" t="s">
        <v>3</v>
      </c>
      <c r="E139" s="2" t="s">
        <v>9</v>
      </c>
      <c r="F139" s="2" t="s">
        <v>5</v>
      </c>
      <c r="G139" s="2">
        <v>2015</v>
      </c>
      <c r="H139" s="2">
        <v>41944.1</v>
      </c>
      <c r="I139" s="2">
        <v>28269.7</v>
      </c>
      <c r="J139" s="2">
        <v>13687.6</v>
      </c>
      <c r="L139"/>
      <c r="M139"/>
    </row>
    <row r="140" spans="1:13" x14ac:dyDescent="0.45">
      <c r="A140" s="2" t="s">
        <v>208</v>
      </c>
      <c r="B140" s="2" t="s">
        <v>1</v>
      </c>
      <c r="C140" s="2" t="s">
        <v>209</v>
      </c>
      <c r="D140" s="2" t="s">
        <v>11</v>
      </c>
      <c r="E140" s="2" t="s">
        <v>4</v>
      </c>
      <c r="F140" s="2" t="s">
        <v>5</v>
      </c>
      <c r="G140" s="2">
        <v>2016</v>
      </c>
      <c r="H140" s="2">
        <v>15684.7</v>
      </c>
      <c r="I140" s="2">
        <v>7885.7</v>
      </c>
      <c r="J140" s="2">
        <v>7799</v>
      </c>
      <c r="L140"/>
      <c r="M140"/>
    </row>
    <row r="141" spans="1:13" x14ac:dyDescent="0.45">
      <c r="A141" s="2" t="s">
        <v>499</v>
      </c>
      <c r="B141" s="2" t="s">
        <v>1</v>
      </c>
      <c r="C141" s="2" t="s">
        <v>8</v>
      </c>
      <c r="D141" s="2" t="s">
        <v>3</v>
      </c>
      <c r="E141" s="2" t="s">
        <v>38</v>
      </c>
      <c r="F141" s="2" t="s">
        <v>35</v>
      </c>
      <c r="G141" s="2">
        <v>1972</v>
      </c>
      <c r="H141" s="2">
        <v>7987.3</v>
      </c>
      <c r="I141" s="2">
        <v>7990.9</v>
      </c>
      <c r="J141" s="2">
        <v>0</v>
      </c>
      <c r="L141"/>
      <c r="M141"/>
    </row>
    <row r="142" spans="1:13" x14ac:dyDescent="0.45">
      <c r="A142" s="2" t="s">
        <v>19</v>
      </c>
      <c r="B142" s="2" t="s">
        <v>1</v>
      </c>
      <c r="C142" s="2" t="s">
        <v>20</v>
      </c>
      <c r="D142" s="2" t="s">
        <v>3</v>
      </c>
      <c r="E142" s="2" t="s">
        <v>9</v>
      </c>
      <c r="F142" s="2" t="s">
        <v>5</v>
      </c>
      <c r="G142" s="2">
        <v>2011</v>
      </c>
      <c r="H142" s="2">
        <v>64656.9</v>
      </c>
      <c r="I142" s="2">
        <v>57704</v>
      </c>
      <c r="J142" s="2">
        <v>6967.8</v>
      </c>
      <c r="L142"/>
      <c r="M142"/>
    </row>
    <row r="143" spans="1:13" x14ac:dyDescent="0.45">
      <c r="A143" s="2" t="s">
        <v>426</v>
      </c>
      <c r="B143" s="2" t="s">
        <v>1</v>
      </c>
      <c r="C143" s="2" t="s">
        <v>427</v>
      </c>
      <c r="D143" s="2" t="s">
        <v>11</v>
      </c>
      <c r="E143" s="2" t="s">
        <v>69</v>
      </c>
      <c r="F143" s="2" t="s">
        <v>5</v>
      </c>
      <c r="G143" s="2">
        <v>2008</v>
      </c>
      <c r="H143" s="2">
        <v>9056.5</v>
      </c>
      <c r="I143" s="2">
        <v>5112.2</v>
      </c>
      <c r="J143" s="2">
        <v>3944.3</v>
      </c>
      <c r="L143"/>
      <c r="M143"/>
    </row>
    <row r="144" spans="1:13" x14ac:dyDescent="0.45">
      <c r="A144" s="2" t="s">
        <v>301</v>
      </c>
      <c r="B144" s="2" t="s">
        <v>1</v>
      </c>
      <c r="C144" s="2" t="s">
        <v>8</v>
      </c>
      <c r="D144" s="2" t="s">
        <v>11</v>
      </c>
      <c r="E144" s="2" t="s">
        <v>4</v>
      </c>
      <c r="F144" s="2" t="s">
        <v>5</v>
      </c>
      <c r="G144" s="2">
        <v>2017</v>
      </c>
      <c r="H144" s="2">
        <v>12209.5</v>
      </c>
      <c r="I144" s="2">
        <v>8937.9</v>
      </c>
      <c r="J144" s="2">
        <v>3281.7</v>
      </c>
      <c r="L144"/>
      <c r="M144"/>
    </row>
    <row r="145" spans="1:13" x14ac:dyDescent="0.45">
      <c r="A145" s="2" t="s">
        <v>192</v>
      </c>
      <c r="B145" s="2" t="s">
        <v>7</v>
      </c>
      <c r="C145" s="2" t="s">
        <v>20</v>
      </c>
      <c r="D145" s="2" t="s">
        <v>3</v>
      </c>
      <c r="E145" s="2" t="s">
        <v>9</v>
      </c>
      <c r="F145" s="2" t="s">
        <v>5</v>
      </c>
      <c r="G145" s="2">
        <v>2009</v>
      </c>
      <c r="H145" s="2">
        <v>16553.3</v>
      </c>
      <c r="I145" s="2">
        <v>11362.1</v>
      </c>
      <c r="J145" s="2">
        <v>5197.6000000000004</v>
      </c>
      <c r="L145"/>
      <c r="M145"/>
    </row>
    <row r="146" spans="1:13" x14ac:dyDescent="0.45">
      <c r="A146" s="2" t="s">
        <v>157</v>
      </c>
      <c r="B146" s="2" t="s">
        <v>1</v>
      </c>
      <c r="C146" s="2" t="s">
        <v>20</v>
      </c>
      <c r="D146" s="2" t="s">
        <v>3</v>
      </c>
      <c r="E146" s="2" t="s">
        <v>38</v>
      </c>
      <c r="F146" s="2" t="s">
        <v>5</v>
      </c>
      <c r="G146" s="2">
        <v>1969</v>
      </c>
      <c r="H146" s="2">
        <v>19090.400000000001</v>
      </c>
      <c r="I146" s="2">
        <v>17435.400000000001</v>
      </c>
      <c r="J146" s="2">
        <v>1662.4</v>
      </c>
      <c r="L146"/>
      <c r="M146"/>
    </row>
    <row r="147" spans="1:13" x14ac:dyDescent="0.45">
      <c r="A147" s="2" t="s">
        <v>319</v>
      </c>
      <c r="B147" s="2" t="s">
        <v>1</v>
      </c>
      <c r="C147" s="2" t="s">
        <v>8</v>
      </c>
      <c r="D147" s="2" t="s">
        <v>3</v>
      </c>
      <c r="E147" s="2" t="s">
        <v>38</v>
      </c>
      <c r="F147" s="2" t="s">
        <v>5</v>
      </c>
      <c r="G147" s="2">
        <v>1954</v>
      </c>
      <c r="H147" s="2">
        <v>11588.8</v>
      </c>
      <c r="I147" s="2">
        <v>11545</v>
      </c>
      <c r="J147" s="2">
        <v>47.3</v>
      </c>
      <c r="L147"/>
      <c r="M147"/>
    </row>
    <row r="148" spans="1:13" x14ac:dyDescent="0.45">
      <c r="A148" s="2" t="s">
        <v>21</v>
      </c>
      <c r="B148" s="2" t="s">
        <v>1</v>
      </c>
      <c r="C148" s="2" t="s">
        <v>8</v>
      </c>
      <c r="D148" s="2" t="s">
        <v>3</v>
      </c>
      <c r="E148" s="2" t="s">
        <v>4</v>
      </c>
      <c r="F148" s="2" t="s">
        <v>5</v>
      </c>
      <c r="G148" s="2">
        <v>1996</v>
      </c>
      <c r="H148" s="2">
        <v>64549</v>
      </c>
      <c r="I148" s="2">
        <v>54466.8</v>
      </c>
      <c r="J148" s="2">
        <v>10100.700000000001</v>
      </c>
      <c r="L148"/>
      <c r="M148"/>
    </row>
    <row r="149" spans="1:13" x14ac:dyDescent="0.45">
      <c r="A149" s="2" t="s">
        <v>540</v>
      </c>
      <c r="B149" s="2" t="s">
        <v>1</v>
      </c>
      <c r="C149" s="2" t="s">
        <v>32</v>
      </c>
      <c r="D149" s="2" t="s">
        <v>33</v>
      </c>
      <c r="E149" s="2" t="s">
        <v>34</v>
      </c>
      <c r="F149" s="2" t="s">
        <v>35</v>
      </c>
      <c r="G149" s="2">
        <v>2020</v>
      </c>
      <c r="H149" s="2">
        <v>7486.2</v>
      </c>
      <c r="I149" s="2">
        <v>7178.8</v>
      </c>
      <c r="J149" s="2">
        <v>328.1</v>
      </c>
      <c r="L149"/>
      <c r="M149"/>
    </row>
    <row r="150" spans="1:13" x14ac:dyDescent="0.45">
      <c r="A150" s="2" t="s">
        <v>283</v>
      </c>
      <c r="B150" s="2" t="s">
        <v>1</v>
      </c>
      <c r="C150" s="2" t="s">
        <v>229</v>
      </c>
      <c r="D150" s="2" t="s">
        <v>11</v>
      </c>
      <c r="E150" s="2" t="s">
        <v>69</v>
      </c>
      <c r="F150" s="2" t="s">
        <v>5</v>
      </c>
      <c r="G150" s="2">
        <v>1995</v>
      </c>
      <c r="H150" s="2">
        <v>12857.9</v>
      </c>
      <c r="I150" s="2">
        <v>11010.3</v>
      </c>
      <c r="J150" s="2">
        <v>1853</v>
      </c>
      <c r="L150"/>
      <c r="M150"/>
    </row>
    <row r="151" spans="1:13" x14ac:dyDescent="0.45">
      <c r="A151" s="2" t="s">
        <v>493</v>
      </c>
      <c r="B151" s="2" t="s">
        <v>1</v>
      </c>
      <c r="C151" s="2" t="s">
        <v>8</v>
      </c>
      <c r="D151" s="2" t="s">
        <v>11</v>
      </c>
      <c r="E151" s="2" t="s">
        <v>77</v>
      </c>
      <c r="F151" s="2" t="s">
        <v>35</v>
      </c>
      <c r="G151" s="2">
        <v>2020</v>
      </c>
      <c r="H151" s="2">
        <v>8063.4</v>
      </c>
      <c r="I151" s="2">
        <v>5540.4</v>
      </c>
      <c r="J151" s="2">
        <v>2525</v>
      </c>
      <c r="L151"/>
      <c r="M151"/>
    </row>
    <row r="152" spans="1:13" x14ac:dyDescent="0.45">
      <c r="A152" s="2" t="s">
        <v>233</v>
      </c>
      <c r="B152" s="2" t="s">
        <v>1</v>
      </c>
      <c r="C152" s="2" t="s">
        <v>8</v>
      </c>
      <c r="D152" s="2" t="s">
        <v>3</v>
      </c>
      <c r="E152" s="2" t="s">
        <v>38</v>
      </c>
      <c r="F152" s="2" t="s">
        <v>35</v>
      </c>
      <c r="G152" s="2">
        <v>2003</v>
      </c>
      <c r="H152" s="2">
        <v>14507.7</v>
      </c>
      <c r="I152" s="2">
        <v>10717.2</v>
      </c>
      <c r="J152" s="2">
        <v>3796.5</v>
      </c>
      <c r="L152"/>
      <c r="M152"/>
    </row>
    <row r="153" spans="1:13" x14ac:dyDescent="0.45">
      <c r="A153" s="2" t="s">
        <v>87</v>
      </c>
      <c r="B153" s="2" t="s">
        <v>1</v>
      </c>
      <c r="C153" s="2" t="s">
        <v>8</v>
      </c>
      <c r="D153" s="2" t="s">
        <v>11</v>
      </c>
      <c r="E153" s="2" t="s">
        <v>12</v>
      </c>
      <c r="F153" s="2" t="s">
        <v>5</v>
      </c>
      <c r="G153" s="2">
        <v>2009</v>
      </c>
      <c r="H153" s="2">
        <v>29775.3</v>
      </c>
      <c r="I153" s="2">
        <v>8548.7000000000007</v>
      </c>
      <c r="J153" s="2">
        <v>21237.200000000001</v>
      </c>
      <c r="L153"/>
      <c r="M153"/>
    </row>
    <row r="154" spans="1:13" x14ac:dyDescent="0.45">
      <c r="A154" s="2" t="s">
        <v>70</v>
      </c>
      <c r="B154" s="2" t="s">
        <v>1</v>
      </c>
      <c r="C154" s="2" t="s">
        <v>29</v>
      </c>
      <c r="D154" s="2" t="s">
        <v>11</v>
      </c>
      <c r="E154" s="2" t="s">
        <v>12</v>
      </c>
      <c r="F154" s="2" t="s">
        <v>5</v>
      </c>
      <c r="G154" s="2">
        <v>2015</v>
      </c>
      <c r="H154" s="2">
        <v>34579.1</v>
      </c>
      <c r="I154" s="2">
        <v>18725.599999999999</v>
      </c>
      <c r="J154" s="2">
        <v>15774.1</v>
      </c>
      <c r="L154"/>
      <c r="M154"/>
    </row>
    <row r="155" spans="1:13" x14ac:dyDescent="0.45">
      <c r="A155" s="2" t="s">
        <v>478</v>
      </c>
      <c r="B155" s="2" t="s">
        <v>1</v>
      </c>
      <c r="C155" s="2" t="s">
        <v>115</v>
      </c>
      <c r="D155" s="2" t="s">
        <v>3</v>
      </c>
      <c r="E155" s="2" t="s">
        <v>47</v>
      </c>
      <c r="F155" s="2" t="s">
        <v>5</v>
      </c>
      <c r="G155" s="2">
        <v>2013</v>
      </c>
      <c r="H155" s="2">
        <v>8278.7000000000007</v>
      </c>
      <c r="I155" s="2">
        <v>4898.7</v>
      </c>
      <c r="J155" s="2">
        <v>3389.6</v>
      </c>
      <c r="L155"/>
      <c r="M155"/>
    </row>
    <row r="156" spans="1:13" x14ac:dyDescent="0.45">
      <c r="A156" s="2" t="s">
        <v>454</v>
      </c>
      <c r="B156" s="2" t="s">
        <v>1</v>
      </c>
      <c r="C156" s="2" t="s">
        <v>8</v>
      </c>
      <c r="D156" s="2" t="s">
        <v>3</v>
      </c>
      <c r="E156" s="2" t="s">
        <v>4</v>
      </c>
      <c r="F156" s="2" t="s">
        <v>5</v>
      </c>
      <c r="G156" s="2">
        <v>2014</v>
      </c>
      <c r="H156" s="2">
        <v>8564.5</v>
      </c>
      <c r="I156" s="2">
        <v>5566.1</v>
      </c>
      <c r="J156" s="2">
        <v>3001.4</v>
      </c>
      <c r="L156"/>
      <c r="M156"/>
    </row>
    <row r="157" spans="1:13" x14ac:dyDescent="0.45">
      <c r="A157" s="2" t="s">
        <v>557</v>
      </c>
      <c r="B157" s="2" t="s">
        <v>1</v>
      </c>
      <c r="C157" s="2" t="s">
        <v>8</v>
      </c>
      <c r="D157" s="2" t="s">
        <v>3</v>
      </c>
      <c r="E157" s="2" t="s">
        <v>278</v>
      </c>
      <c r="F157" s="2" t="s">
        <v>35</v>
      </c>
      <c r="G157" s="2">
        <v>2007</v>
      </c>
      <c r="H157" s="2">
        <v>7326.6</v>
      </c>
      <c r="I157" s="2">
        <v>1671.1</v>
      </c>
      <c r="J157" s="2">
        <v>5664.1</v>
      </c>
      <c r="L157"/>
      <c r="M157"/>
    </row>
    <row r="158" spans="1:13" x14ac:dyDescent="0.45">
      <c r="A158" s="2" t="s">
        <v>189</v>
      </c>
      <c r="B158" s="2" t="s">
        <v>65</v>
      </c>
      <c r="C158" s="2" t="s">
        <v>20</v>
      </c>
      <c r="D158" s="2" t="s">
        <v>3</v>
      </c>
      <c r="E158" s="2" t="s">
        <v>38</v>
      </c>
      <c r="F158" s="2" t="s">
        <v>35</v>
      </c>
      <c r="G158" s="2">
        <v>1967</v>
      </c>
      <c r="H158" s="2">
        <v>16577.5</v>
      </c>
      <c r="I158" s="2">
        <v>16577.5</v>
      </c>
      <c r="J158" s="2">
        <v>0.4</v>
      </c>
      <c r="L158"/>
      <c r="M158"/>
    </row>
    <row r="159" spans="1:13" x14ac:dyDescent="0.45">
      <c r="A159" s="2" t="s">
        <v>195</v>
      </c>
      <c r="B159" s="2" t="s">
        <v>1</v>
      </c>
      <c r="C159" s="2" t="s">
        <v>8</v>
      </c>
      <c r="D159" s="2" t="s">
        <v>3</v>
      </c>
      <c r="E159" s="2" t="s">
        <v>4</v>
      </c>
      <c r="F159" s="2" t="s">
        <v>5</v>
      </c>
      <c r="G159" s="2">
        <v>2007</v>
      </c>
      <c r="H159" s="2">
        <v>16366.1</v>
      </c>
      <c r="I159" s="2">
        <v>14784.2</v>
      </c>
      <c r="J159" s="2">
        <v>1492.7</v>
      </c>
      <c r="L159"/>
      <c r="M159"/>
    </row>
    <row r="160" spans="1:13" x14ac:dyDescent="0.45">
      <c r="A160" s="2" t="s">
        <v>411</v>
      </c>
      <c r="B160" s="2" t="s">
        <v>7</v>
      </c>
      <c r="C160" s="2" t="s">
        <v>20</v>
      </c>
      <c r="D160" s="2" t="s">
        <v>3</v>
      </c>
      <c r="E160" s="2" t="s">
        <v>38</v>
      </c>
      <c r="F160" s="2" t="s">
        <v>35</v>
      </c>
      <c r="G160" s="2">
        <v>2009</v>
      </c>
      <c r="H160" s="2">
        <v>9401</v>
      </c>
      <c r="I160" s="2">
        <v>8691.5</v>
      </c>
      <c r="J160" s="2">
        <v>712.9</v>
      </c>
      <c r="L160"/>
      <c r="M160"/>
    </row>
    <row r="161" spans="1:13" x14ac:dyDescent="0.45">
      <c r="A161" s="2" t="s">
        <v>396</v>
      </c>
      <c r="B161" s="2" t="s">
        <v>1</v>
      </c>
      <c r="C161" s="2" t="s">
        <v>8</v>
      </c>
      <c r="D161" s="2" t="s">
        <v>3</v>
      </c>
      <c r="E161" s="2" t="s">
        <v>85</v>
      </c>
      <c r="F161" s="2" t="s">
        <v>35</v>
      </c>
      <c r="G161" s="2">
        <v>2010</v>
      </c>
      <c r="H161" s="2">
        <v>9869.2999999999993</v>
      </c>
      <c r="I161" s="2">
        <v>6437</v>
      </c>
      <c r="J161" s="2">
        <v>3432.3</v>
      </c>
      <c r="L161"/>
      <c r="M161"/>
    </row>
    <row r="162" spans="1:13" x14ac:dyDescent="0.45">
      <c r="A162" s="2" t="s">
        <v>361</v>
      </c>
      <c r="B162" s="2" t="s">
        <v>1</v>
      </c>
      <c r="C162" s="2" t="s">
        <v>8</v>
      </c>
      <c r="D162" s="2" t="s">
        <v>3</v>
      </c>
      <c r="E162" s="2" t="s">
        <v>38</v>
      </c>
      <c r="F162" s="2" t="s">
        <v>35</v>
      </c>
      <c r="G162" s="2">
        <v>1994</v>
      </c>
      <c r="H162" s="2">
        <v>10571.1</v>
      </c>
      <c r="I162" s="2">
        <v>10570.2</v>
      </c>
      <c r="J162" s="2">
        <v>4.5</v>
      </c>
      <c r="L162"/>
      <c r="M162"/>
    </row>
    <row r="163" spans="1:13" x14ac:dyDescent="0.45">
      <c r="A163" s="2" t="s">
        <v>113</v>
      </c>
      <c r="B163" s="2" t="s">
        <v>1</v>
      </c>
      <c r="C163" s="2" t="s">
        <v>8</v>
      </c>
      <c r="D163" s="2" t="s">
        <v>3</v>
      </c>
      <c r="E163" s="2" t="s">
        <v>14</v>
      </c>
      <c r="F163" s="2" t="s">
        <v>5</v>
      </c>
      <c r="G163" s="2">
        <v>2011</v>
      </c>
      <c r="H163" s="2">
        <v>24807.4</v>
      </c>
      <c r="I163" s="2">
        <v>20425.400000000001</v>
      </c>
      <c r="J163" s="2">
        <v>4391.5</v>
      </c>
      <c r="L163"/>
      <c r="M163"/>
    </row>
    <row r="164" spans="1:13" x14ac:dyDescent="0.45">
      <c r="A164" s="2" t="s">
        <v>297</v>
      </c>
      <c r="B164" s="2" t="s">
        <v>1</v>
      </c>
      <c r="C164" s="2" t="s">
        <v>8</v>
      </c>
      <c r="D164" s="2" t="s">
        <v>3</v>
      </c>
      <c r="E164" s="2" t="s">
        <v>9</v>
      </c>
      <c r="F164" s="2" t="s">
        <v>5</v>
      </c>
      <c r="G164" s="2">
        <v>1939</v>
      </c>
      <c r="H164" s="2">
        <v>12421.7</v>
      </c>
      <c r="I164" s="2">
        <v>11999.7</v>
      </c>
      <c r="J164" s="2">
        <v>421.9</v>
      </c>
      <c r="L164"/>
      <c r="M164"/>
    </row>
    <row r="165" spans="1:13" x14ac:dyDescent="0.45">
      <c r="A165" s="2" t="s">
        <v>316</v>
      </c>
      <c r="B165" s="2" t="s">
        <v>1</v>
      </c>
      <c r="C165" s="2" t="s">
        <v>317</v>
      </c>
      <c r="D165" s="2" t="s">
        <v>3</v>
      </c>
      <c r="E165" s="2" t="s">
        <v>4</v>
      </c>
      <c r="F165" s="2" t="s">
        <v>5</v>
      </c>
      <c r="G165" s="2">
        <v>2002</v>
      </c>
      <c r="H165" s="2">
        <v>11640.6</v>
      </c>
      <c r="I165" s="2">
        <v>6067.8</v>
      </c>
      <c r="J165" s="2">
        <v>5576.2</v>
      </c>
      <c r="L165"/>
      <c r="M165"/>
    </row>
    <row r="166" spans="1:13" x14ac:dyDescent="0.45">
      <c r="A166" s="2" t="s">
        <v>100</v>
      </c>
      <c r="B166" s="2" t="s">
        <v>1</v>
      </c>
      <c r="C166" s="2" t="s">
        <v>8</v>
      </c>
      <c r="D166" s="2" t="s">
        <v>11</v>
      </c>
      <c r="E166" s="2" t="s">
        <v>69</v>
      </c>
      <c r="F166" s="2" t="s">
        <v>35</v>
      </c>
      <c r="G166" s="2">
        <v>2018</v>
      </c>
      <c r="H166" s="2">
        <v>27466.799999999999</v>
      </c>
      <c r="I166" s="2">
        <v>19814.7</v>
      </c>
      <c r="J166" s="2">
        <v>7652.1</v>
      </c>
      <c r="L166"/>
      <c r="M166"/>
    </row>
    <row r="167" spans="1:13" x14ac:dyDescent="0.45">
      <c r="A167" s="2" t="s">
        <v>30</v>
      </c>
      <c r="B167" s="2" t="s">
        <v>1</v>
      </c>
      <c r="C167" s="2" t="s">
        <v>8</v>
      </c>
      <c r="D167" s="2" t="s">
        <v>3</v>
      </c>
      <c r="E167" s="2" t="s">
        <v>4</v>
      </c>
      <c r="F167" s="2" t="s">
        <v>5</v>
      </c>
      <c r="G167" s="2">
        <v>2010</v>
      </c>
      <c r="H167" s="2">
        <v>53951.5</v>
      </c>
      <c r="I167" s="2">
        <v>27879</v>
      </c>
      <c r="J167" s="2">
        <v>26072.5</v>
      </c>
      <c r="L167"/>
      <c r="M167"/>
    </row>
    <row r="168" spans="1:13" x14ac:dyDescent="0.45">
      <c r="A168" s="2" t="s">
        <v>425</v>
      </c>
      <c r="B168" s="2" t="s">
        <v>1</v>
      </c>
      <c r="C168" s="2" t="s">
        <v>76</v>
      </c>
      <c r="D168" s="2" t="s">
        <v>11</v>
      </c>
      <c r="E168" s="2" t="s">
        <v>77</v>
      </c>
      <c r="F168" s="2" t="s">
        <v>5</v>
      </c>
      <c r="G168" s="2">
        <v>2015</v>
      </c>
      <c r="H168" s="2">
        <v>9076.4</v>
      </c>
      <c r="I168" s="2">
        <v>3472</v>
      </c>
      <c r="J168" s="2">
        <v>5604.3</v>
      </c>
      <c r="L168"/>
      <c r="M168"/>
    </row>
    <row r="169" spans="1:13" x14ac:dyDescent="0.45">
      <c r="A169" s="2" t="s">
        <v>220</v>
      </c>
      <c r="B169" s="2" t="s">
        <v>1</v>
      </c>
      <c r="C169" s="2" t="s">
        <v>8</v>
      </c>
      <c r="D169" s="2" t="s">
        <v>3</v>
      </c>
      <c r="E169" s="2" t="s">
        <v>4</v>
      </c>
      <c r="F169" s="2" t="s">
        <v>5</v>
      </c>
      <c r="G169" s="2">
        <v>2006</v>
      </c>
      <c r="H169" s="2">
        <v>15133</v>
      </c>
      <c r="I169" s="2">
        <v>11606.5</v>
      </c>
      <c r="J169" s="2">
        <v>3518.6</v>
      </c>
      <c r="L169"/>
      <c r="M169"/>
    </row>
    <row r="170" spans="1:13" x14ac:dyDescent="0.45">
      <c r="A170" s="2" t="s">
        <v>464</v>
      </c>
      <c r="B170" s="2" t="s">
        <v>1</v>
      </c>
      <c r="C170" s="2" t="s">
        <v>465</v>
      </c>
      <c r="D170" s="2" t="s">
        <v>244</v>
      </c>
      <c r="E170" s="2" t="s">
        <v>4</v>
      </c>
      <c r="F170" s="2" t="s">
        <v>5</v>
      </c>
      <c r="G170" s="2">
        <v>2013</v>
      </c>
      <c r="H170" s="2">
        <v>8439.5</v>
      </c>
      <c r="I170" s="2">
        <v>6942.6</v>
      </c>
      <c r="J170" s="2">
        <v>1509.4</v>
      </c>
      <c r="L170"/>
      <c r="M170"/>
    </row>
    <row r="171" spans="1:13" x14ac:dyDescent="0.45">
      <c r="A171" s="2" t="s">
        <v>415</v>
      </c>
      <c r="B171" s="2" t="s">
        <v>1</v>
      </c>
      <c r="C171" s="2" t="s">
        <v>8</v>
      </c>
      <c r="D171" s="2" t="s">
        <v>3</v>
      </c>
      <c r="E171" s="2" t="s">
        <v>14</v>
      </c>
      <c r="F171" s="2" t="s">
        <v>5</v>
      </c>
      <c r="G171" s="2">
        <v>2018</v>
      </c>
      <c r="H171" s="2">
        <v>9302.9</v>
      </c>
      <c r="I171" s="2">
        <v>5809.3</v>
      </c>
      <c r="J171" s="2">
        <v>3497.2</v>
      </c>
      <c r="L171"/>
      <c r="M171"/>
    </row>
    <row r="172" spans="1:13" x14ac:dyDescent="0.45">
      <c r="A172" s="2" t="s">
        <v>452</v>
      </c>
      <c r="B172" s="2" t="s">
        <v>1</v>
      </c>
      <c r="C172" s="2" t="s">
        <v>20</v>
      </c>
      <c r="D172" s="2" t="s">
        <v>3</v>
      </c>
      <c r="E172" s="2" t="s">
        <v>44</v>
      </c>
      <c r="F172" s="2" t="s">
        <v>35</v>
      </c>
      <c r="G172" s="2">
        <v>2012</v>
      </c>
      <c r="H172" s="2">
        <v>8591.1</v>
      </c>
      <c r="I172" s="2">
        <v>8578.7000000000007</v>
      </c>
      <c r="J172" s="2">
        <v>15.4</v>
      </c>
      <c r="L172"/>
      <c r="M172"/>
    </row>
    <row r="173" spans="1:13" x14ac:dyDescent="0.45">
      <c r="A173" s="2" t="s">
        <v>246</v>
      </c>
      <c r="B173" s="2" t="s">
        <v>1</v>
      </c>
      <c r="C173" s="2" t="s">
        <v>20</v>
      </c>
      <c r="D173" s="2" t="s">
        <v>3</v>
      </c>
      <c r="E173" s="2" t="s">
        <v>44</v>
      </c>
      <c r="F173" s="2" t="s">
        <v>35</v>
      </c>
      <c r="G173" s="2">
        <v>2001</v>
      </c>
      <c r="H173" s="2">
        <v>14104.4</v>
      </c>
      <c r="I173" s="2">
        <v>14087.5</v>
      </c>
      <c r="J173" s="2">
        <v>23.4</v>
      </c>
      <c r="L173"/>
      <c r="M173"/>
    </row>
    <row r="174" spans="1:13" x14ac:dyDescent="0.45">
      <c r="A174" s="2" t="s">
        <v>400</v>
      </c>
      <c r="B174" s="2" t="s">
        <v>7</v>
      </c>
      <c r="C174" s="2" t="s">
        <v>8</v>
      </c>
      <c r="D174" s="2" t="s">
        <v>3</v>
      </c>
      <c r="E174" s="2" t="s">
        <v>9</v>
      </c>
      <c r="F174" s="2" t="s">
        <v>5</v>
      </c>
      <c r="G174" s="2">
        <v>2019</v>
      </c>
      <c r="H174" s="2">
        <v>9797.7999999999993</v>
      </c>
      <c r="I174" s="2">
        <v>9279.7000000000007</v>
      </c>
      <c r="J174" s="2">
        <v>543.29999999999995</v>
      </c>
      <c r="L174"/>
      <c r="M174"/>
    </row>
    <row r="175" spans="1:13" x14ac:dyDescent="0.45">
      <c r="A175" s="2" t="s">
        <v>215</v>
      </c>
      <c r="B175" s="2" t="s">
        <v>1</v>
      </c>
      <c r="C175" s="2" t="s">
        <v>8</v>
      </c>
      <c r="D175" s="2" t="s">
        <v>3</v>
      </c>
      <c r="E175" s="2" t="s">
        <v>38</v>
      </c>
      <c r="F175" s="2" t="s">
        <v>35</v>
      </c>
      <c r="G175" s="2">
        <v>1990</v>
      </c>
      <c r="H175" s="2">
        <v>15453.3</v>
      </c>
      <c r="I175" s="2">
        <v>15342.6</v>
      </c>
      <c r="J175" s="2">
        <v>118.3</v>
      </c>
      <c r="L175"/>
      <c r="M175"/>
    </row>
    <row r="176" spans="1:13" x14ac:dyDescent="0.45">
      <c r="A176" s="2" t="s">
        <v>302</v>
      </c>
      <c r="B176" s="2" t="s">
        <v>1</v>
      </c>
      <c r="C176" s="2" t="s">
        <v>76</v>
      </c>
      <c r="D176" s="2" t="s">
        <v>11</v>
      </c>
      <c r="E176" s="2" t="s">
        <v>77</v>
      </c>
      <c r="F176" s="2" t="s">
        <v>35</v>
      </c>
      <c r="G176" s="2">
        <v>2014</v>
      </c>
      <c r="H176" s="2">
        <v>12151.3</v>
      </c>
      <c r="I176" s="2">
        <v>8589.7999999999993</v>
      </c>
      <c r="J176" s="2">
        <v>3569.6</v>
      </c>
      <c r="L176"/>
      <c r="M176"/>
    </row>
    <row r="177" spans="1:13" x14ac:dyDescent="0.45">
      <c r="A177" s="2" t="s">
        <v>248</v>
      </c>
      <c r="B177" s="2" t="s">
        <v>1</v>
      </c>
      <c r="C177" s="2" t="s">
        <v>8</v>
      </c>
      <c r="D177" s="2" t="s">
        <v>11</v>
      </c>
      <c r="E177" s="2" t="s">
        <v>77</v>
      </c>
      <c r="F177" s="2" t="s">
        <v>35</v>
      </c>
      <c r="G177" s="2">
        <v>2022</v>
      </c>
      <c r="H177" s="2">
        <v>13999.3</v>
      </c>
      <c r="I177" s="2">
        <v>8094.6</v>
      </c>
      <c r="J177" s="2">
        <v>5914.6</v>
      </c>
      <c r="L177"/>
      <c r="M177"/>
    </row>
    <row r="178" spans="1:13" x14ac:dyDescent="0.45">
      <c r="A178" s="2" t="s">
        <v>569</v>
      </c>
      <c r="B178" s="2" t="s">
        <v>1</v>
      </c>
      <c r="C178" s="2" t="s">
        <v>76</v>
      </c>
      <c r="D178" s="2" t="s">
        <v>11</v>
      </c>
      <c r="E178" s="2" t="s">
        <v>77</v>
      </c>
      <c r="F178" s="2" t="s">
        <v>35</v>
      </c>
      <c r="G178" s="2">
        <v>2015</v>
      </c>
      <c r="H178" s="2">
        <v>7123.4</v>
      </c>
      <c r="I178" s="2">
        <v>5595.9</v>
      </c>
      <c r="J178" s="2">
        <v>1527.5</v>
      </c>
      <c r="L178"/>
      <c r="M178"/>
    </row>
    <row r="179" spans="1:13" x14ac:dyDescent="0.45">
      <c r="A179" s="2" t="s">
        <v>561</v>
      </c>
      <c r="B179" s="2" t="s">
        <v>1</v>
      </c>
      <c r="C179" s="2" t="s">
        <v>153</v>
      </c>
      <c r="D179" s="2" t="s">
        <v>154</v>
      </c>
      <c r="E179" s="2" t="s">
        <v>69</v>
      </c>
      <c r="F179" s="2" t="s">
        <v>35</v>
      </c>
      <c r="G179" s="2">
        <v>2016</v>
      </c>
      <c r="H179" s="2">
        <v>7277.6</v>
      </c>
      <c r="I179" s="2">
        <v>6836.9</v>
      </c>
      <c r="J179" s="2">
        <v>455.9</v>
      </c>
      <c r="L179"/>
      <c r="M179"/>
    </row>
    <row r="180" spans="1:13" x14ac:dyDescent="0.45">
      <c r="A180" s="2" t="s">
        <v>227</v>
      </c>
      <c r="B180" s="2" t="s">
        <v>1</v>
      </c>
      <c r="C180" s="2" t="s">
        <v>8</v>
      </c>
      <c r="D180" s="2" t="s">
        <v>3</v>
      </c>
      <c r="E180" s="2" t="s">
        <v>4</v>
      </c>
      <c r="F180" s="2" t="s">
        <v>5</v>
      </c>
      <c r="G180" s="2">
        <v>2005</v>
      </c>
      <c r="H180" s="2">
        <v>14880.2</v>
      </c>
      <c r="I180" s="2">
        <v>7106.1</v>
      </c>
      <c r="J180" s="2">
        <v>7779.1</v>
      </c>
      <c r="L180"/>
      <c r="M180"/>
    </row>
    <row r="181" spans="1:13" x14ac:dyDescent="0.45">
      <c r="A181" s="2" t="s">
        <v>98</v>
      </c>
      <c r="B181" s="2" t="s">
        <v>1</v>
      </c>
      <c r="C181" s="2" t="s">
        <v>8</v>
      </c>
      <c r="D181" s="2" t="s">
        <v>3</v>
      </c>
      <c r="E181" s="2" t="s">
        <v>4</v>
      </c>
      <c r="F181" s="2" t="s">
        <v>5</v>
      </c>
      <c r="G181" s="2">
        <v>2013</v>
      </c>
      <c r="H181" s="2">
        <v>28195.8</v>
      </c>
      <c r="I181" s="2">
        <v>12491.3</v>
      </c>
      <c r="J181" s="2">
        <v>15715.6</v>
      </c>
      <c r="L181"/>
      <c r="M181"/>
    </row>
    <row r="182" spans="1:13" x14ac:dyDescent="0.45">
      <c r="A182" s="2" t="s">
        <v>256</v>
      </c>
      <c r="B182" s="2" t="s">
        <v>1</v>
      </c>
      <c r="C182" s="2" t="s">
        <v>8</v>
      </c>
      <c r="D182" s="2" t="s">
        <v>3</v>
      </c>
      <c r="E182" s="2" t="s">
        <v>38</v>
      </c>
      <c r="F182" s="2" t="s">
        <v>35</v>
      </c>
      <c r="G182" s="2">
        <v>1985</v>
      </c>
      <c r="H182" s="2">
        <v>13683</v>
      </c>
      <c r="I182" s="2">
        <v>13689.3</v>
      </c>
      <c r="J182" s="2">
        <v>0</v>
      </c>
      <c r="L182"/>
      <c r="M182"/>
    </row>
    <row r="183" spans="1:13" x14ac:dyDescent="0.45">
      <c r="A183" s="2" t="s">
        <v>300</v>
      </c>
      <c r="B183" s="2" t="s">
        <v>1</v>
      </c>
      <c r="C183" s="2" t="s">
        <v>153</v>
      </c>
      <c r="D183" s="2" t="s">
        <v>154</v>
      </c>
      <c r="E183" s="2" t="s">
        <v>155</v>
      </c>
      <c r="F183" s="2" t="s">
        <v>5</v>
      </c>
      <c r="G183" s="2">
        <v>2009</v>
      </c>
      <c r="H183" s="2">
        <v>12324.9</v>
      </c>
      <c r="I183" s="2">
        <v>10393.6</v>
      </c>
      <c r="J183" s="2">
        <v>1924.7</v>
      </c>
      <c r="L183"/>
      <c r="M183"/>
    </row>
    <row r="184" spans="1:13" x14ac:dyDescent="0.45">
      <c r="A184" s="2" t="s">
        <v>531</v>
      </c>
      <c r="B184" s="2" t="s">
        <v>7</v>
      </c>
      <c r="C184" s="2" t="s">
        <v>8</v>
      </c>
      <c r="D184" s="2" t="s">
        <v>3</v>
      </c>
      <c r="E184" s="2" t="s">
        <v>14</v>
      </c>
      <c r="F184" s="2" t="s">
        <v>5</v>
      </c>
      <c r="G184" s="2">
        <v>2016</v>
      </c>
      <c r="H184" s="2">
        <v>7608.2</v>
      </c>
      <c r="I184" s="2">
        <v>3801.5</v>
      </c>
      <c r="J184" s="2">
        <v>3806.7</v>
      </c>
      <c r="L184"/>
      <c r="M184"/>
    </row>
    <row r="185" spans="1:13" x14ac:dyDescent="0.45">
      <c r="A185" s="2" t="s">
        <v>109</v>
      </c>
      <c r="B185" s="2" t="s">
        <v>7</v>
      </c>
      <c r="C185" s="2" t="s">
        <v>8</v>
      </c>
      <c r="D185" s="2" t="s">
        <v>3</v>
      </c>
      <c r="E185" s="2" t="s">
        <v>9</v>
      </c>
      <c r="F185" s="2" t="s">
        <v>5</v>
      </c>
      <c r="G185" s="2">
        <v>2014</v>
      </c>
      <c r="H185" s="2">
        <v>25687.5</v>
      </c>
      <c r="I185" s="2">
        <v>13902.2</v>
      </c>
      <c r="J185" s="2">
        <v>11792.3</v>
      </c>
      <c r="L185"/>
      <c r="M185"/>
    </row>
    <row r="186" spans="1:13" x14ac:dyDescent="0.45">
      <c r="A186" s="2" t="s">
        <v>434</v>
      </c>
      <c r="B186" s="2" t="s">
        <v>1</v>
      </c>
      <c r="C186" s="2" t="s">
        <v>115</v>
      </c>
      <c r="D186" s="2" t="s">
        <v>116</v>
      </c>
      <c r="E186" s="2" t="s">
        <v>126</v>
      </c>
      <c r="F186" s="2" t="s">
        <v>5</v>
      </c>
      <c r="G186" s="2">
        <v>1977</v>
      </c>
      <c r="H186" s="2">
        <v>8906.9</v>
      </c>
      <c r="I186" s="2">
        <v>8155.5</v>
      </c>
      <c r="J186" s="2">
        <v>751.4</v>
      </c>
      <c r="L186"/>
      <c r="M186"/>
    </row>
    <row r="187" spans="1:13" x14ac:dyDescent="0.45">
      <c r="A187" s="2" t="s">
        <v>89</v>
      </c>
      <c r="B187" s="2" t="s">
        <v>1</v>
      </c>
      <c r="C187" s="2" t="s">
        <v>20</v>
      </c>
      <c r="D187" s="2" t="s">
        <v>3</v>
      </c>
      <c r="E187" s="2" t="s">
        <v>9</v>
      </c>
      <c r="F187" s="2" t="s">
        <v>5</v>
      </c>
      <c r="G187" s="2">
        <v>2010</v>
      </c>
      <c r="H187" s="2">
        <v>29449</v>
      </c>
      <c r="I187" s="2">
        <v>29462.799999999999</v>
      </c>
      <c r="J187" s="2">
        <v>0</v>
      </c>
      <c r="L187"/>
      <c r="M187"/>
    </row>
    <row r="188" spans="1:13" x14ac:dyDescent="0.45">
      <c r="A188" s="2" t="s">
        <v>152</v>
      </c>
      <c r="B188" s="2" t="s">
        <v>1</v>
      </c>
      <c r="C188" s="2" t="s">
        <v>153</v>
      </c>
      <c r="D188" s="2" t="s">
        <v>154</v>
      </c>
      <c r="E188" s="2" t="s">
        <v>155</v>
      </c>
      <c r="F188" s="2" t="s">
        <v>35</v>
      </c>
      <c r="G188" s="2">
        <v>2008</v>
      </c>
      <c r="H188" s="2">
        <v>19231.7</v>
      </c>
      <c r="I188" s="2">
        <v>15881.4</v>
      </c>
      <c r="J188" s="2">
        <v>3360.5</v>
      </c>
      <c r="L188"/>
      <c r="M188"/>
    </row>
    <row r="189" spans="1:13" x14ac:dyDescent="0.45">
      <c r="A189" s="2" t="s">
        <v>190</v>
      </c>
      <c r="B189" s="2" t="s">
        <v>1</v>
      </c>
      <c r="C189" s="2" t="s">
        <v>191</v>
      </c>
      <c r="D189" s="2" t="s">
        <v>3</v>
      </c>
      <c r="E189" s="2" t="s">
        <v>38</v>
      </c>
      <c r="F189" s="2" t="s">
        <v>5</v>
      </c>
      <c r="G189" s="2">
        <v>2013</v>
      </c>
      <c r="H189" s="2">
        <v>16556.5</v>
      </c>
      <c r="I189" s="2">
        <v>15920.4</v>
      </c>
      <c r="J189" s="2">
        <v>641.79999999999995</v>
      </c>
      <c r="L189"/>
      <c r="M189"/>
    </row>
    <row r="190" spans="1:13" x14ac:dyDescent="0.45">
      <c r="A190" s="2" t="s">
        <v>53</v>
      </c>
      <c r="B190" s="2" t="s">
        <v>1</v>
      </c>
      <c r="C190" s="2" t="s">
        <v>8</v>
      </c>
      <c r="D190" s="2" t="s">
        <v>3</v>
      </c>
      <c r="E190" s="2" t="s">
        <v>38</v>
      </c>
      <c r="F190" s="2" t="s">
        <v>35</v>
      </c>
      <c r="G190" s="2">
        <v>2012</v>
      </c>
      <c r="H190" s="2">
        <v>40279.5</v>
      </c>
      <c r="I190" s="2">
        <v>38006.699999999997</v>
      </c>
      <c r="J190" s="2">
        <v>2283.1999999999998</v>
      </c>
      <c r="L190"/>
      <c r="M190"/>
    </row>
    <row r="191" spans="1:13" x14ac:dyDescent="0.45">
      <c r="A191" s="2" t="s">
        <v>340</v>
      </c>
      <c r="B191" s="2" t="s">
        <v>1</v>
      </c>
      <c r="C191" s="2" t="s">
        <v>58</v>
      </c>
      <c r="D191" s="2" t="s">
        <v>59</v>
      </c>
      <c r="E191" s="2" t="s">
        <v>60</v>
      </c>
      <c r="F191" s="2" t="s">
        <v>5</v>
      </c>
      <c r="G191" s="2">
        <v>2004</v>
      </c>
      <c r="H191" s="2">
        <v>11014.9</v>
      </c>
      <c r="I191" s="2">
        <v>5793.9</v>
      </c>
      <c r="J191" s="2">
        <v>5236.3</v>
      </c>
      <c r="L191"/>
      <c r="M191"/>
    </row>
    <row r="192" spans="1:13" x14ac:dyDescent="0.45">
      <c r="A192" s="2" t="s">
        <v>28</v>
      </c>
      <c r="B192" s="2" t="s">
        <v>1</v>
      </c>
      <c r="C192" s="2" t="s">
        <v>29</v>
      </c>
      <c r="D192" s="2" t="s">
        <v>11</v>
      </c>
      <c r="E192" s="2" t="s">
        <v>12</v>
      </c>
      <c r="F192" s="2" t="s">
        <v>5</v>
      </c>
      <c r="G192" s="2">
        <v>2004</v>
      </c>
      <c r="H192" s="2">
        <v>54649.2</v>
      </c>
      <c r="I192" s="2">
        <v>25333.3</v>
      </c>
      <c r="J192" s="2">
        <v>29334</v>
      </c>
      <c r="L192"/>
      <c r="M192"/>
    </row>
    <row r="193" spans="1:13" x14ac:dyDescent="0.45">
      <c r="A193" s="2" t="s">
        <v>78</v>
      </c>
      <c r="B193" s="2" t="s">
        <v>1</v>
      </c>
      <c r="C193" s="2" t="s">
        <v>8</v>
      </c>
      <c r="D193" s="2" t="s">
        <v>3</v>
      </c>
      <c r="E193" s="2" t="s">
        <v>4</v>
      </c>
      <c r="F193" s="2" t="s">
        <v>5</v>
      </c>
      <c r="G193" s="2">
        <v>2007</v>
      </c>
      <c r="H193" s="2">
        <v>32200.9</v>
      </c>
      <c r="I193" s="2">
        <v>24334.7</v>
      </c>
      <c r="J193" s="2">
        <v>7876.1</v>
      </c>
      <c r="L193"/>
      <c r="M193"/>
    </row>
    <row r="194" spans="1:13" x14ac:dyDescent="0.45">
      <c r="A194" s="2" t="s">
        <v>288</v>
      </c>
      <c r="B194" s="2" t="s">
        <v>1</v>
      </c>
      <c r="C194" s="2" t="s">
        <v>8</v>
      </c>
      <c r="D194" s="2" t="s">
        <v>3</v>
      </c>
      <c r="E194" s="2" t="s">
        <v>4</v>
      </c>
      <c r="F194" s="2" t="s">
        <v>5</v>
      </c>
      <c r="G194" s="2">
        <v>2015</v>
      </c>
      <c r="H194" s="2">
        <v>12751</v>
      </c>
      <c r="I194" s="2">
        <v>8481.6</v>
      </c>
      <c r="J194" s="2">
        <v>4272.5</v>
      </c>
      <c r="L194"/>
      <c r="M194"/>
    </row>
    <row r="195" spans="1:13" x14ac:dyDescent="0.45">
      <c r="A195" s="2" t="s">
        <v>456</v>
      </c>
      <c r="B195" s="2" t="s">
        <v>1</v>
      </c>
      <c r="C195" s="2" t="s">
        <v>8</v>
      </c>
      <c r="D195" s="2" t="s">
        <v>3</v>
      </c>
      <c r="E195" s="2" t="s">
        <v>38</v>
      </c>
      <c r="F195" s="2" t="s">
        <v>5</v>
      </c>
      <c r="G195" s="2">
        <v>2001</v>
      </c>
      <c r="H195" s="2">
        <v>8551.4</v>
      </c>
      <c r="I195" s="2">
        <v>8199.2999999999993</v>
      </c>
      <c r="J195" s="2">
        <v>355</v>
      </c>
      <c r="L195"/>
      <c r="M195"/>
    </row>
    <row r="196" spans="1:13" x14ac:dyDescent="0.45">
      <c r="A196" s="2" t="s">
        <v>200</v>
      </c>
      <c r="B196" s="2" t="s">
        <v>1</v>
      </c>
      <c r="C196" s="2" t="s">
        <v>20</v>
      </c>
      <c r="D196" s="2" t="s">
        <v>3</v>
      </c>
      <c r="E196" s="2" t="s">
        <v>9</v>
      </c>
      <c r="F196" s="2" t="s">
        <v>5</v>
      </c>
      <c r="G196" s="2">
        <v>2012</v>
      </c>
      <c r="H196" s="2">
        <v>16111.6</v>
      </c>
      <c r="I196" s="2">
        <v>14817.7</v>
      </c>
      <c r="J196" s="2">
        <v>1297.5999999999999</v>
      </c>
      <c r="L196"/>
      <c r="M196"/>
    </row>
    <row r="197" spans="1:13" x14ac:dyDescent="0.45">
      <c r="A197" s="2" t="s">
        <v>546</v>
      </c>
      <c r="B197" s="2" t="s">
        <v>1</v>
      </c>
      <c r="C197" s="2" t="s">
        <v>8</v>
      </c>
      <c r="D197" s="2" t="s">
        <v>3</v>
      </c>
      <c r="E197" s="2" t="s">
        <v>85</v>
      </c>
      <c r="F197" s="2" t="s">
        <v>5</v>
      </c>
      <c r="G197" s="2">
        <v>2005</v>
      </c>
      <c r="H197" s="2">
        <v>7423.5</v>
      </c>
      <c r="I197" s="2">
        <v>7117.2</v>
      </c>
      <c r="J197" s="2">
        <v>319.89999999999998</v>
      </c>
      <c r="L197"/>
      <c r="M197"/>
    </row>
    <row r="198" spans="1:13" x14ac:dyDescent="0.45">
      <c r="A198" s="2" t="s">
        <v>175</v>
      </c>
      <c r="B198" s="2" t="s">
        <v>1</v>
      </c>
      <c r="C198" s="2" t="s">
        <v>8</v>
      </c>
      <c r="D198" s="2" t="s">
        <v>3</v>
      </c>
      <c r="E198" s="2" t="s">
        <v>9</v>
      </c>
      <c r="F198" s="2" t="s">
        <v>5</v>
      </c>
      <c r="G198" s="2">
        <v>2009</v>
      </c>
      <c r="H198" s="2">
        <v>17720.2</v>
      </c>
      <c r="I198" s="2">
        <v>13610.1</v>
      </c>
      <c r="J198" s="2">
        <v>4116.2</v>
      </c>
      <c r="L198"/>
      <c r="M198"/>
    </row>
    <row r="199" spans="1:13" x14ac:dyDescent="0.45">
      <c r="A199" s="2" t="s">
        <v>575</v>
      </c>
      <c r="B199" s="2" t="s">
        <v>1</v>
      </c>
      <c r="C199" s="2" t="s">
        <v>8</v>
      </c>
      <c r="D199" s="2" t="s">
        <v>3</v>
      </c>
      <c r="E199" s="2" t="s">
        <v>9</v>
      </c>
      <c r="F199" s="2" t="s">
        <v>5</v>
      </c>
      <c r="G199" s="2">
        <v>2002</v>
      </c>
      <c r="H199" s="2">
        <v>7048.5</v>
      </c>
      <c r="I199" s="2">
        <v>6851.4</v>
      </c>
      <c r="J199" s="2">
        <v>199.1</v>
      </c>
      <c r="L199"/>
      <c r="M199"/>
    </row>
    <row r="200" spans="1:13" x14ac:dyDescent="0.45">
      <c r="A200" s="2" t="s">
        <v>477</v>
      </c>
      <c r="B200" s="2" t="s">
        <v>1</v>
      </c>
      <c r="C200" s="2" t="s">
        <v>8</v>
      </c>
      <c r="D200" s="2" t="s">
        <v>11</v>
      </c>
      <c r="E200" s="2" t="s">
        <v>12</v>
      </c>
      <c r="F200" s="2" t="s">
        <v>5</v>
      </c>
      <c r="G200" s="2">
        <v>2019</v>
      </c>
      <c r="H200" s="2">
        <v>8282.2999999999993</v>
      </c>
      <c r="I200" s="2">
        <v>6707</v>
      </c>
      <c r="J200" s="2">
        <v>1607.4</v>
      </c>
      <c r="L200"/>
      <c r="M200"/>
    </row>
    <row r="201" spans="1:13" x14ac:dyDescent="0.45">
      <c r="A201" s="2" t="s">
        <v>118</v>
      </c>
      <c r="B201" s="2" t="s">
        <v>1</v>
      </c>
      <c r="C201" s="2" t="s">
        <v>8</v>
      </c>
      <c r="D201" s="2" t="s">
        <v>3</v>
      </c>
      <c r="E201" s="2" t="s">
        <v>4</v>
      </c>
      <c r="F201" s="2" t="s">
        <v>5</v>
      </c>
      <c r="G201" s="2">
        <v>1996</v>
      </c>
      <c r="H201" s="2">
        <v>24440.1</v>
      </c>
      <c r="I201" s="2">
        <v>13311.3</v>
      </c>
      <c r="J201" s="2">
        <v>11139.9</v>
      </c>
      <c r="L201"/>
      <c r="M201"/>
    </row>
    <row r="202" spans="1:13" x14ac:dyDescent="0.45">
      <c r="A202" s="2" t="s">
        <v>494</v>
      </c>
      <c r="B202" s="2" t="s">
        <v>7</v>
      </c>
      <c r="C202" s="2" t="s">
        <v>32</v>
      </c>
      <c r="D202" s="2" t="s">
        <v>33</v>
      </c>
      <c r="E202" s="2" t="s">
        <v>34</v>
      </c>
      <c r="F202" s="2" t="s">
        <v>5</v>
      </c>
      <c r="G202" s="2">
        <v>2016</v>
      </c>
      <c r="H202" s="2">
        <v>8056.8</v>
      </c>
      <c r="I202" s="2">
        <v>4415.6000000000004</v>
      </c>
      <c r="J202" s="2">
        <v>3648.3</v>
      </c>
      <c r="L202"/>
      <c r="M202"/>
    </row>
    <row r="203" spans="1:13" x14ac:dyDescent="0.45">
      <c r="A203" s="2" t="s">
        <v>422</v>
      </c>
      <c r="B203" s="2" t="s">
        <v>7</v>
      </c>
      <c r="C203" s="2" t="s">
        <v>8</v>
      </c>
      <c r="D203" s="2" t="s">
        <v>3</v>
      </c>
      <c r="E203" s="2" t="s">
        <v>9</v>
      </c>
      <c r="F203" s="2" t="s">
        <v>5</v>
      </c>
      <c r="G203" s="2">
        <v>1999</v>
      </c>
      <c r="H203" s="2">
        <v>9115.7000000000007</v>
      </c>
      <c r="I203" s="2">
        <v>7543</v>
      </c>
      <c r="J203" s="2">
        <v>1578.6</v>
      </c>
      <c r="L203"/>
      <c r="M203"/>
    </row>
    <row r="204" spans="1:13" x14ac:dyDescent="0.45">
      <c r="A204" s="2" t="s">
        <v>402</v>
      </c>
      <c r="B204" s="2" t="s">
        <v>1</v>
      </c>
      <c r="C204" s="2" t="s">
        <v>8</v>
      </c>
      <c r="D204" s="2" t="s">
        <v>3</v>
      </c>
      <c r="E204" s="2" t="s">
        <v>14</v>
      </c>
      <c r="F204" s="2" t="s">
        <v>5</v>
      </c>
      <c r="G204" s="2">
        <v>2009</v>
      </c>
      <c r="H204" s="2">
        <v>9713</v>
      </c>
      <c r="I204" s="2">
        <v>5586.8</v>
      </c>
      <c r="J204" s="2">
        <v>4126.1000000000004</v>
      </c>
      <c r="L204"/>
      <c r="M204"/>
    </row>
    <row r="205" spans="1:13" x14ac:dyDescent="0.45">
      <c r="A205" s="2" t="s">
        <v>497</v>
      </c>
      <c r="B205" s="2" t="s">
        <v>7</v>
      </c>
      <c r="C205" s="2" t="s">
        <v>20</v>
      </c>
      <c r="D205" s="2" t="s">
        <v>3</v>
      </c>
      <c r="E205" s="2" t="s">
        <v>9</v>
      </c>
      <c r="F205" s="2" t="s">
        <v>5</v>
      </c>
      <c r="G205" s="2">
        <v>2014</v>
      </c>
      <c r="H205" s="2">
        <v>8019.9</v>
      </c>
      <c r="I205" s="2">
        <v>3097.3</v>
      </c>
      <c r="J205" s="2">
        <v>4922.6000000000004</v>
      </c>
      <c r="L205"/>
      <c r="M205"/>
    </row>
    <row r="206" spans="1:13" x14ac:dyDescent="0.45">
      <c r="A206" s="2" t="s">
        <v>177</v>
      </c>
      <c r="B206" s="2" t="s">
        <v>1</v>
      </c>
      <c r="C206" s="2" t="s">
        <v>8</v>
      </c>
      <c r="D206" s="2" t="s">
        <v>11</v>
      </c>
      <c r="E206" s="2" t="s">
        <v>12</v>
      </c>
      <c r="F206" s="2" t="s">
        <v>5</v>
      </c>
      <c r="G206" s="2">
        <v>2017</v>
      </c>
      <c r="H206" s="2">
        <v>17516.099999999999</v>
      </c>
      <c r="I206" s="2">
        <v>16311.4</v>
      </c>
      <c r="J206" s="2">
        <v>1210.7</v>
      </c>
      <c r="L206"/>
      <c r="M206"/>
    </row>
    <row r="207" spans="1:13" x14ac:dyDescent="0.45">
      <c r="A207" s="2" t="s">
        <v>355</v>
      </c>
      <c r="B207" s="2" t="s">
        <v>7</v>
      </c>
      <c r="C207" s="2" t="s">
        <v>8</v>
      </c>
      <c r="D207" s="2" t="s">
        <v>3</v>
      </c>
      <c r="E207" s="2" t="s">
        <v>14</v>
      </c>
      <c r="F207" s="2" t="s">
        <v>5</v>
      </c>
      <c r="G207" s="2">
        <v>2002</v>
      </c>
      <c r="H207" s="2">
        <v>10731.7</v>
      </c>
      <c r="I207" s="2">
        <v>6224.9</v>
      </c>
      <c r="J207" s="2">
        <v>4506.8</v>
      </c>
      <c r="L207"/>
      <c r="M207"/>
    </row>
    <row r="208" spans="1:13" x14ac:dyDescent="0.45">
      <c r="A208" s="2" t="s">
        <v>571</v>
      </c>
      <c r="B208" s="2" t="s">
        <v>1</v>
      </c>
      <c r="C208" s="2" t="s">
        <v>8</v>
      </c>
      <c r="D208" s="2" t="s">
        <v>3</v>
      </c>
      <c r="E208" s="2" t="s">
        <v>4</v>
      </c>
      <c r="F208" s="2" t="s">
        <v>5</v>
      </c>
      <c r="G208" s="2">
        <v>2010</v>
      </c>
      <c r="H208" s="2">
        <v>7073.7</v>
      </c>
      <c r="I208" s="2">
        <v>2882.3</v>
      </c>
      <c r="J208" s="2">
        <v>4191.3999999999996</v>
      </c>
      <c r="L208"/>
      <c r="M208"/>
    </row>
    <row r="209" spans="1:13" x14ac:dyDescent="0.45">
      <c r="A209" s="2" t="s">
        <v>461</v>
      </c>
      <c r="B209" s="2" t="s">
        <v>1</v>
      </c>
      <c r="C209" s="2" t="s">
        <v>32</v>
      </c>
      <c r="D209" s="2" t="s">
        <v>33</v>
      </c>
      <c r="E209" s="2" t="s">
        <v>34</v>
      </c>
      <c r="F209" s="2" t="s">
        <v>5</v>
      </c>
      <c r="G209" s="2">
        <v>2013</v>
      </c>
      <c r="H209" s="2">
        <v>8472.9</v>
      </c>
      <c r="I209" s="2">
        <v>7819.3</v>
      </c>
      <c r="J209" s="2">
        <v>656.6</v>
      </c>
      <c r="L209"/>
      <c r="M209"/>
    </row>
    <row r="210" spans="1:13" x14ac:dyDescent="0.45">
      <c r="A210" s="2" t="s">
        <v>450</v>
      </c>
      <c r="B210" s="2" t="s">
        <v>1</v>
      </c>
      <c r="C210" s="2" t="s">
        <v>76</v>
      </c>
      <c r="D210" s="2" t="s">
        <v>11</v>
      </c>
      <c r="E210" s="2" t="s">
        <v>77</v>
      </c>
      <c r="F210" s="2" t="s">
        <v>5</v>
      </c>
      <c r="G210" s="2">
        <v>1975</v>
      </c>
      <c r="H210" s="2">
        <v>8622.1</v>
      </c>
      <c r="I210" s="2">
        <v>8534</v>
      </c>
      <c r="J210" s="2">
        <v>98.1</v>
      </c>
      <c r="L210"/>
      <c r="M210"/>
    </row>
    <row r="211" spans="1:13" x14ac:dyDescent="0.45">
      <c r="A211" s="2" t="s">
        <v>309</v>
      </c>
      <c r="B211" s="2" t="s">
        <v>1</v>
      </c>
      <c r="C211" s="2" t="s">
        <v>8</v>
      </c>
      <c r="D211" s="2" t="s">
        <v>3</v>
      </c>
      <c r="E211" s="2" t="s">
        <v>14</v>
      </c>
      <c r="F211" s="2" t="s">
        <v>5</v>
      </c>
      <c r="G211" s="2">
        <v>2004</v>
      </c>
      <c r="H211" s="2">
        <v>11821.6</v>
      </c>
      <c r="I211" s="2">
        <v>7454.6</v>
      </c>
      <c r="J211" s="2">
        <v>4369.1000000000004</v>
      </c>
      <c r="L211"/>
      <c r="M211"/>
    </row>
    <row r="212" spans="1:13" x14ac:dyDescent="0.45">
      <c r="A212" s="2" t="s">
        <v>274</v>
      </c>
      <c r="B212" s="2" t="s">
        <v>1</v>
      </c>
      <c r="C212" s="2" t="s">
        <v>8</v>
      </c>
      <c r="D212" s="2" t="s">
        <v>3</v>
      </c>
      <c r="E212" s="2" t="s">
        <v>9</v>
      </c>
      <c r="F212" s="2" t="s">
        <v>5</v>
      </c>
      <c r="G212" s="2">
        <v>1999</v>
      </c>
      <c r="H212" s="2">
        <v>13208.3</v>
      </c>
      <c r="I212" s="2">
        <v>12134.4</v>
      </c>
      <c r="J212" s="2">
        <v>1076.8</v>
      </c>
      <c r="L212"/>
      <c r="M212"/>
    </row>
    <row r="213" spans="1:13" x14ac:dyDescent="0.45">
      <c r="A213" s="2" t="s">
        <v>544</v>
      </c>
      <c r="B213" s="2" t="s">
        <v>1</v>
      </c>
      <c r="C213" s="2" t="s">
        <v>8</v>
      </c>
      <c r="D213" s="2" t="s">
        <v>3</v>
      </c>
      <c r="E213" s="2" t="s">
        <v>85</v>
      </c>
      <c r="F213" s="2" t="s">
        <v>5</v>
      </c>
      <c r="G213" s="2">
        <v>1955</v>
      </c>
      <c r="H213" s="2">
        <v>7450.6</v>
      </c>
      <c r="I213" s="2">
        <v>6491.8</v>
      </c>
      <c r="J213" s="2">
        <v>961.4</v>
      </c>
      <c r="L213"/>
      <c r="M213"/>
    </row>
    <row r="214" spans="1:13" x14ac:dyDescent="0.45">
      <c r="A214" s="2" t="s">
        <v>231</v>
      </c>
      <c r="B214" s="2" t="s">
        <v>1</v>
      </c>
      <c r="C214" s="2" t="s">
        <v>232</v>
      </c>
      <c r="D214" s="2" t="s">
        <v>3</v>
      </c>
      <c r="E214" s="2" t="s">
        <v>14</v>
      </c>
      <c r="F214" s="2" t="s">
        <v>5</v>
      </c>
      <c r="G214" s="2">
        <v>2017</v>
      </c>
      <c r="H214" s="2">
        <v>14512.1</v>
      </c>
      <c r="I214" s="2">
        <v>13579.3</v>
      </c>
      <c r="J214" s="2">
        <v>938.4</v>
      </c>
      <c r="L214"/>
      <c r="M214"/>
    </row>
    <row r="215" spans="1:13" x14ac:dyDescent="0.45">
      <c r="A215" s="2" t="s">
        <v>419</v>
      </c>
      <c r="B215" s="2" t="s">
        <v>1</v>
      </c>
      <c r="C215" s="2" t="s">
        <v>20</v>
      </c>
      <c r="D215" s="2" t="s">
        <v>3</v>
      </c>
      <c r="E215" s="2" t="s">
        <v>47</v>
      </c>
      <c r="F215" s="2" t="s">
        <v>5</v>
      </c>
      <c r="G215" s="2">
        <v>2015</v>
      </c>
      <c r="H215" s="2">
        <v>9206.7000000000007</v>
      </c>
      <c r="I215" s="2">
        <v>7645.1</v>
      </c>
      <c r="J215" s="2">
        <v>1564.1</v>
      </c>
      <c r="L215"/>
      <c r="M215"/>
    </row>
    <row r="216" spans="1:13" x14ac:dyDescent="0.45">
      <c r="A216" s="2" t="s">
        <v>433</v>
      </c>
      <c r="B216" s="2" t="s">
        <v>1</v>
      </c>
      <c r="C216" s="2" t="s">
        <v>8</v>
      </c>
      <c r="D216" s="2" t="s">
        <v>3</v>
      </c>
      <c r="E216" s="2" t="s">
        <v>9</v>
      </c>
      <c r="F216" s="2" t="s">
        <v>35</v>
      </c>
      <c r="G216" s="2">
        <v>2006</v>
      </c>
      <c r="H216" s="2">
        <v>8909.9</v>
      </c>
      <c r="I216" s="2">
        <v>6844.4</v>
      </c>
      <c r="J216" s="2">
        <v>2067.6999999999998</v>
      </c>
      <c r="L216"/>
      <c r="M216"/>
    </row>
    <row r="217" spans="1:13" x14ac:dyDescent="0.45">
      <c r="A217" s="2" t="s">
        <v>235</v>
      </c>
      <c r="B217" s="2" t="s">
        <v>1</v>
      </c>
      <c r="C217" s="2" t="s">
        <v>153</v>
      </c>
      <c r="D217" s="2" t="s">
        <v>154</v>
      </c>
      <c r="E217" s="2" t="s">
        <v>155</v>
      </c>
      <c r="F217" s="2" t="s">
        <v>35</v>
      </c>
      <c r="G217" s="2">
        <v>2007</v>
      </c>
      <c r="H217" s="2">
        <v>14404.4</v>
      </c>
      <c r="I217" s="2">
        <v>11024</v>
      </c>
      <c r="J217" s="2">
        <v>3391.4</v>
      </c>
      <c r="L217"/>
      <c r="M217"/>
    </row>
    <row r="218" spans="1:13" x14ac:dyDescent="0.45">
      <c r="A218" s="2" t="s">
        <v>573</v>
      </c>
      <c r="B218" s="2" t="s">
        <v>1</v>
      </c>
      <c r="C218" s="2" t="s">
        <v>76</v>
      </c>
      <c r="D218" s="2" t="s">
        <v>11</v>
      </c>
      <c r="E218" s="2" t="s">
        <v>69</v>
      </c>
      <c r="F218" s="2" t="s">
        <v>5</v>
      </c>
      <c r="G218" s="2">
        <v>1971</v>
      </c>
      <c r="H218" s="2">
        <v>7059.2</v>
      </c>
      <c r="I218" s="2">
        <v>6505.8</v>
      </c>
      <c r="J218" s="2">
        <v>557.1</v>
      </c>
      <c r="L218"/>
      <c r="M218"/>
    </row>
    <row r="219" spans="1:13" x14ac:dyDescent="0.45">
      <c r="A219" s="2" t="s">
        <v>421</v>
      </c>
      <c r="B219" s="2" t="s">
        <v>1</v>
      </c>
      <c r="C219" s="2" t="s">
        <v>29</v>
      </c>
      <c r="D219" s="2" t="s">
        <v>11</v>
      </c>
      <c r="E219" s="2" t="s">
        <v>69</v>
      </c>
      <c r="F219" s="2" t="s">
        <v>5</v>
      </c>
      <c r="G219" s="2">
        <v>1988</v>
      </c>
      <c r="H219" s="2">
        <v>9121.6</v>
      </c>
      <c r="I219" s="2">
        <v>4954.8</v>
      </c>
      <c r="J219" s="2">
        <v>4166.8</v>
      </c>
      <c r="L219"/>
      <c r="M219"/>
    </row>
    <row r="220" spans="1:13" x14ac:dyDescent="0.45">
      <c r="A220" s="2" t="s">
        <v>39</v>
      </c>
      <c r="B220" s="2" t="s">
        <v>1</v>
      </c>
      <c r="C220" s="2" t="s">
        <v>8</v>
      </c>
      <c r="D220" s="2" t="s">
        <v>3</v>
      </c>
      <c r="E220" s="2" t="s">
        <v>4</v>
      </c>
      <c r="F220" s="2" t="s">
        <v>5</v>
      </c>
      <c r="G220" s="2">
        <v>2015</v>
      </c>
      <c r="H220" s="2">
        <v>46276.4</v>
      </c>
      <c r="I220" s="2">
        <v>34132.1</v>
      </c>
      <c r="J220" s="2">
        <v>12155.1</v>
      </c>
      <c r="L220"/>
      <c r="M220"/>
    </row>
    <row r="221" spans="1:13" x14ac:dyDescent="0.45">
      <c r="A221" s="2" t="s">
        <v>469</v>
      </c>
      <c r="B221" s="2" t="s">
        <v>1</v>
      </c>
      <c r="C221" s="2" t="s">
        <v>8</v>
      </c>
      <c r="D221" s="2" t="s">
        <v>3</v>
      </c>
      <c r="E221" s="2" t="s">
        <v>4</v>
      </c>
      <c r="F221" s="2" t="s">
        <v>5</v>
      </c>
      <c r="G221" s="2">
        <v>1991</v>
      </c>
      <c r="H221" s="2">
        <v>8370.9</v>
      </c>
      <c r="I221" s="2">
        <v>1884.2</v>
      </c>
      <c r="J221" s="2">
        <v>6486.7</v>
      </c>
      <c r="L221"/>
      <c r="M221"/>
    </row>
    <row r="222" spans="1:13" x14ac:dyDescent="0.45">
      <c r="A222" s="2" t="s">
        <v>243</v>
      </c>
      <c r="B222" s="2" t="s">
        <v>1</v>
      </c>
      <c r="C222" s="2" t="s">
        <v>46</v>
      </c>
      <c r="D222" s="2" t="s">
        <v>244</v>
      </c>
      <c r="E222" s="2" t="s">
        <v>4</v>
      </c>
      <c r="F222" s="2" t="s">
        <v>5</v>
      </c>
      <c r="G222" s="2">
        <v>2013</v>
      </c>
      <c r="H222" s="2">
        <v>14127.8</v>
      </c>
      <c r="I222" s="2">
        <v>11142.3</v>
      </c>
      <c r="J222" s="2">
        <v>2993.2</v>
      </c>
      <c r="L222"/>
      <c r="M222"/>
    </row>
    <row r="223" spans="1:13" x14ac:dyDescent="0.45">
      <c r="A223" s="2" t="s">
        <v>435</v>
      </c>
      <c r="B223" s="2" t="s">
        <v>7</v>
      </c>
      <c r="C223" s="2" t="s">
        <v>8</v>
      </c>
      <c r="D223" s="2" t="s">
        <v>3</v>
      </c>
      <c r="E223" s="2" t="s">
        <v>9</v>
      </c>
      <c r="F223" s="2" t="s">
        <v>5</v>
      </c>
      <c r="G223" s="2">
        <v>2010</v>
      </c>
      <c r="H223" s="2">
        <v>8899.6</v>
      </c>
      <c r="I223" s="2">
        <v>4219.1000000000004</v>
      </c>
      <c r="J223" s="2">
        <v>4681.7</v>
      </c>
      <c r="L223"/>
      <c r="M223"/>
    </row>
    <row r="224" spans="1:13" x14ac:dyDescent="0.45">
      <c r="A224" s="2" t="s">
        <v>407</v>
      </c>
      <c r="B224" s="2" t="s">
        <v>1</v>
      </c>
      <c r="C224" s="2" t="s">
        <v>76</v>
      </c>
      <c r="D224" s="2" t="s">
        <v>11</v>
      </c>
      <c r="E224" s="2" t="s">
        <v>77</v>
      </c>
      <c r="F224" s="2" t="s">
        <v>35</v>
      </c>
      <c r="G224" s="2">
        <v>2007</v>
      </c>
      <c r="H224" s="2">
        <v>9503.2999999999993</v>
      </c>
      <c r="I224" s="2">
        <v>2467.8000000000002</v>
      </c>
      <c r="J224" s="2">
        <v>7045.9</v>
      </c>
      <c r="L224"/>
      <c r="M224"/>
    </row>
    <row r="225" spans="1:13" x14ac:dyDescent="0.45">
      <c r="A225" s="2" t="s">
        <v>331</v>
      </c>
      <c r="B225" s="2" t="s">
        <v>1</v>
      </c>
      <c r="C225" s="2" t="s">
        <v>32</v>
      </c>
      <c r="D225" s="2" t="s">
        <v>33</v>
      </c>
      <c r="E225" s="2" t="s">
        <v>34</v>
      </c>
      <c r="F225" s="2" t="s">
        <v>5</v>
      </c>
      <c r="G225" s="2">
        <v>2013</v>
      </c>
      <c r="H225" s="2">
        <v>11232.6</v>
      </c>
      <c r="I225" s="2">
        <v>9653.7999999999993</v>
      </c>
      <c r="J225" s="2">
        <v>1583.7</v>
      </c>
      <c r="L225"/>
      <c r="M225"/>
    </row>
    <row r="226" spans="1:13" x14ac:dyDescent="0.45">
      <c r="A226" s="2" t="s">
        <v>101</v>
      </c>
      <c r="B226" s="2" t="s">
        <v>1</v>
      </c>
      <c r="C226" s="2" t="s">
        <v>76</v>
      </c>
      <c r="D226" s="2" t="s">
        <v>11</v>
      </c>
      <c r="E226" s="2" t="s">
        <v>77</v>
      </c>
      <c r="F226" s="2" t="s">
        <v>5</v>
      </c>
      <c r="G226" s="2">
        <v>2019</v>
      </c>
      <c r="H226" s="2">
        <v>27406.799999999999</v>
      </c>
      <c r="I226" s="2">
        <v>18341.2</v>
      </c>
      <c r="J226" s="2">
        <v>9084.4</v>
      </c>
      <c r="L226"/>
      <c r="M226"/>
    </row>
    <row r="227" spans="1:13" x14ac:dyDescent="0.45">
      <c r="A227" s="2" t="s">
        <v>15</v>
      </c>
      <c r="B227" s="2" t="s">
        <v>1</v>
      </c>
      <c r="C227" s="2" t="s">
        <v>2</v>
      </c>
      <c r="D227" s="2" t="s">
        <v>3</v>
      </c>
      <c r="E227" s="2" t="s">
        <v>9</v>
      </c>
      <c r="F227" s="2" t="s">
        <v>5</v>
      </c>
      <c r="G227" s="2">
        <v>2009</v>
      </c>
      <c r="H227" s="2">
        <v>78104.399999999994</v>
      </c>
      <c r="I227" s="2">
        <v>48316.2</v>
      </c>
      <c r="J227" s="2">
        <v>29788.2</v>
      </c>
      <c r="L227"/>
      <c r="M227"/>
    </row>
    <row r="228" spans="1:13" x14ac:dyDescent="0.45">
      <c r="A228" s="2" t="s">
        <v>222</v>
      </c>
      <c r="B228" s="2" t="s">
        <v>1</v>
      </c>
      <c r="C228" s="2" t="s">
        <v>8</v>
      </c>
      <c r="D228" s="2" t="s">
        <v>11</v>
      </c>
      <c r="E228" s="2" t="s">
        <v>12</v>
      </c>
      <c r="F228" s="2" t="s">
        <v>5</v>
      </c>
      <c r="G228" s="2">
        <v>2010</v>
      </c>
      <c r="H228" s="2">
        <v>15041.1</v>
      </c>
      <c r="I228" s="2">
        <v>4978.8999999999996</v>
      </c>
      <c r="J228" s="2">
        <v>10062.1</v>
      </c>
      <c r="L228"/>
      <c r="M228"/>
    </row>
    <row r="229" spans="1:13" x14ac:dyDescent="0.45">
      <c r="A229" s="2" t="s">
        <v>166</v>
      </c>
      <c r="B229" s="2" t="s">
        <v>1</v>
      </c>
      <c r="C229" s="2" t="s">
        <v>8</v>
      </c>
      <c r="D229" s="2" t="s">
        <v>3</v>
      </c>
      <c r="E229" s="2" t="s">
        <v>9</v>
      </c>
      <c r="F229" s="2" t="s">
        <v>5</v>
      </c>
      <c r="G229" s="2">
        <v>2002</v>
      </c>
      <c r="H229" s="2">
        <v>18270.8</v>
      </c>
      <c r="I229" s="2">
        <v>13165.8</v>
      </c>
      <c r="J229" s="2">
        <v>5114.8999999999996</v>
      </c>
      <c r="L229"/>
      <c r="M229"/>
    </row>
    <row r="230" spans="1:13" x14ac:dyDescent="0.45">
      <c r="A230" s="2" t="s">
        <v>173</v>
      </c>
      <c r="B230" s="2" t="s">
        <v>7</v>
      </c>
      <c r="C230" s="2" t="s">
        <v>29</v>
      </c>
      <c r="D230" s="2" t="s">
        <v>3</v>
      </c>
      <c r="E230" s="2" t="s">
        <v>14</v>
      </c>
      <c r="F230" s="2" t="s">
        <v>5</v>
      </c>
      <c r="G230" s="2">
        <v>2012</v>
      </c>
      <c r="H230" s="2">
        <v>18005.3</v>
      </c>
      <c r="I230" s="2">
        <v>10367</v>
      </c>
      <c r="J230" s="2">
        <v>7646.6</v>
      </c>
      <c r="L230"/>
      <c r="M230"/>
    </row>
    <row r="231" spans="1:13" x14ac:dyDescent="0.45">
      <c r="A231" s="2" t="s">
        <v>558</v>
      </c>
      <c r="B231" s="2" t="s">
        <v>1</v>
      </c>
      <c r="C231" s="2" t="s">
        <v>8</v>
      </c>
      <c r="D231" s="2" t="s">
        <v>3</v>
      </c>
      <c r="E231" s="2" t="s">
        <v>85</v>
      </c>
      <c r="F231" s="2" t="s">
        <v>5</v>
      </c>
      <c r="G231" s="2">
        <v>2014</v>
      </c>
      <c r="H231" s="2">
        <v>7313.2</v>
      </c>
      <c r="I231" s="2">
        <v>7318.3</v>
      </c>
      <c r="J231" s="2">
        <v>8.3000000000000007</v>
      </c>
      <c r="L231"/>
      <c r="M231"/>
    </row>
    <row r="232" spans="1:13" x14ac:dyDescent="0.45">
      <c r="A232" s="2" t="s">
        <v>18</v>
      </c>
      <c r="B232" s="2" t="s">
        <v>1</v>
      </c>
      <c r="C232" s="2" t="s">
        <v>8</v>
      </c>
      <c r="D232" s="2" t="s">
        <v>3</v>
      </c>
      <c r="E232" s="2" t="s">
        <v>4</v>
      </c>
      <c r="F232" s="2" t="s">
        <v>5</v>
      </c>
      <c r="G232" s="2">
        <v>2004</v>
      </c>
      <c r="H232" s="2">
        <v>65142.9</v>
      </c>
      <c r="I232" s="2">
        <v>46558.400000000001</v>
      </c>
      <c r="J232" s="2">
        <v>18584.5</v>
      </c>
      <c r="L232"/>
      <c r="M232"/>
    </row>
    <row r="233" spans="1:13" x14ac:dyDescent="0.45">
      <c r="A233" s="2" t="s">
        <v>536</v>
      </c>
      <c r="B233" s="2" t="s">
        <v>1</v>
      </c>
      <c r="C233" s="2" t="s">
        <v>58</v>
      </c>
      <c r="D233" s="2" t="s">
        <v>537</v>
      </c>
      <c r="E233" s="2" t="s">
        <v>4</v>
      </c>
      <c r="F233" s="2" t="s">
        <v>5</v>
      </c>
      <c r="G233" s="2">
        <v>2014</v>
      </c>
      <c r="H233" s="2">
        <v>7550.3</v>
      </c>
      <c r="I233" s="2">
        <v>6212.4</v>
      </c>
      <c r="J233" s="2">
        <v>1334.7</v>
      </c>
      <c r="L233"/>
      <c r="M233"/>
    </row>
    <row r="234" spans="1:13" x14ac:dyDescent="0.45">
      <c r="A234" s="2" t="s">
        <v>62</v>
      </c>
      <c r="B234" s="2" t="s">
        <v>7</v>
      </c>
      <c r="C234" s="2" t="s">
        <v>29</v>
      </c>
      <c r="D234" s="2" t="s">
        <v>11</v>
      </c>
      <c r="E234" s="2" t="s">
        <v>12</v>
      </c>
      <c r="F234" s="2" t="s">
        <v>5</v>
      </c>
      <c r="G234" s="2">
        <v>2007</v>
      </c>
      <c r="H234" s="2">
        <v>37549.699999999997</v>
      </c>
      <c r="I234" s="2">
        <v>29603.8</v>
      </c>
      <c r="J234" s="2">
        <v>7961.5</v>
      </c>
      <c r="L234"/>
      <c r="M234"/>
    </row>
    <row r="235" spans="1:13" x14ac:dyDescent="0.45">
      <c r="A235" s="2" t="s">
        <v>97</v>
      </c>
      <c r="B235" s="2" t="s">
        <v>7</v>
      </c>
      <c r="C235" s="2" t="s">
        <v>8</v>
      </c>
      <c r="D235" s="2" t="s">
        <v>3</v>
      </c>
      <c r="E235" s="2" t="s">
        <v>9</v>
      </c>
      <c r="F235" s="2" t="s">
        <v>5</v>
      </c>
      <c r="G235" s="2">
        <v>2001</v>
      </c>
      <c r="H235" s="2">
        <v>28248</v>
      </c>
      <c r="I235" s="2">
        <v>25287.5</v>
      </c>
      <c r="J235" s="2">
        <v>2977.8</v>
      </c>
      <c r="L235"/>
      <c r="M235"/>
    </row>
    <row r="236" spans="1:13" x14ac:dyDescent="0.45">
      <c r="A236" s="2" t="s">
        <v>356</v>
      </c>
      <c r="B236" s="2" t="s">
        <v>7</v>
      </c>
      <c r="C236" s="2" t="s">
        <v>8</v>
      </c>
      <c r="D236" s="2" t="s">
        <v>3</v>
      </c>
      <c r="E236" s="2" t="s">
        <v>14</v>
      </c>
      <c r="F236" s="2" t="s">
        <v>5</v>
      </c>
      <c r="G236" s="2">
        <v>2014</v>
      </c>
      <c r="H236" s="2">
        <v>10712.8</v>
      </c>
      <c r="I236" s="2">
        <v>6060.2</v>
      </c>
      <c r="J236" s="2">
        <v>4663.3999999999996</v>
      </c>
      <c r="L236"/>
      <c r="M236"/>
    </row>
    <row r="237" spans="1:13" x14ac:dyDescent="0.45">
      <c r="A237" s="2" t="s">
        <v>471</v>
      </c>
      <c r="B237" s="2" t="s">
        <v>7</v>
      </c>
      <c r="C237" s="2" t="s">
        <v>8</v>
      </c>
      <c r="D237" s="2" t="s">
        <v>3</v>
      </c>
      <c r="E237" s="2" t="s">
        <v>9</v>
      </c>
      <c r="F237" s="2" t="s">
        <v>5</v>
      </c>
      <c r="G237" s="2">
        <v>2002</v>
      </c>
      <c r="H237" s="2">
        <v>8339.2999999999993</v>
      </c>
      <c r="I237" s="2">
        <v>7864.3</v>
      </c>
      <c r="J237" s="2">
        <v>477.4</v>
      </c>
      <c r="L237"/>
      <c r="M237"/>
    </row>
    <row r="238" spans="1:13" x14ac:dyDescent="0.45">
      <c r="A238" s="2" t="s">
        <v>26</v>
      </c>
      <c r="B238" s="2" t="s">
        <v>1</v>
      </c>
      <c r="C238" s="2" t="s">
        <v>8</v>
      </c>
      <c r="D238" s="2" t="s">
        <v>3</v>
      </c>
      <c r="E238" s="2" t="s">
        <v>4</v>
      </c>
      <c r="F238" s="2" t="s">
        <v>5</v>
      </c>
      <c r="G238" s="2">
        <v>2009</v>
      </c>
      <c r="H238" s="2">
        <v>56459.5</v>
      </c>
      <c r="I238" s="2">
        <v>40752.199999999997</v>
      </c>
      <c r="J238" s="2">
        <v>15725</v>
      </c>
      <c r="L238"/>
      <c r="M238"/>
    </row>
    <row r="239" spans="1:13" x14ac:dyDescent="0.45">
      <c r="A239" s="2" t="s">
        <v>305</v>
      </c>
      <c r="B239" s="2" t="s">
        <v>7</v>
      </c>
      <c r="C239" s="2" t="s">
        <v>8</v>
      </c>
      <c r="D239" s="2" t="s">
        <v>3</v>
      </c>
      <c r="E239" s="2" t="s">
        <v>9</v>
      </c>
      <c r="F239" s="2" t="s">
        <v>5</v>
      </c>
      <c r="G239" s="2">
        <v>2009</v>
      </c>
      <c r="H239" s="2">
        <v>12094.7</v>
      </c>
      <c r="I239" s="2">
        <v>7821.4</v>
      </c>
      <c r="J239" s="2">
        <v>4279.1000000000004</v>
      </c>
      <c r="L239"/>
      <c r="M239"/>
    </row>
    <row r="240" spans="1:13" x14ac:dyDescent="0.45">
      <c r="A240" s="2" t="s">
        <v>533</v>
      </c>
      <c r="B240" s="2" t="s">
        <v>1</v>
      </c>
      <c r="C240" s="2" t="s">
        <v>8</v>
      </c>
      <c r="D240" s="2" t="s">
        <v>3</v>
      </c>
      <c r="E240" s="2" t="s">
        <v>4</v>
      </c>
      <c r="F240" s="2" t="s">
        <v>5</v>
      </c>
      <c r="G240" s="2">
        <v>2007</v>
      </c>
      <c r="H240" s="2">
        <v>7589.1</v>
      </c>
      <c r="I240" s="2">
        <v>6273.4</v>
      </c>
      <c r="J240" s="2">
        <v>1315.7</v>
      </c>
      <c r="L240"/>
      <c r="M240"/>
    </row>
    <row r="241" spans="1:13" x14ac:dyDescent="0.45">
      <c r="A241" s="2" t="s">
        <v>66</v>
      </c>
      <c r="B241" s="2" t="s">
        <v>1</v>
      </c>
      <c r="C241" s="2" t="s">
        <v>8</v>
      </c>
      <c r="D241" s="2" t="s">
        <v>3</v>
      </c>
      <c r="E241" s="2" t="s">
        <v>14</v>
      </c>
      <c r="F241" s="2" t="s">
        <v>5</v>
      </c>
      <c r="G241" s="2">
        <v>2016</v>
      </c>
      <c r="H241" s="2">
        <v>35727.199999999997</v>
      </c>
      <c r="I241" s="2">
        <v>18499.900000000001</v>
      </c>
      <c r="J241" s="2">
        <v>17234.400000000001</v>
      </c>
      <c r="L241"/>
      <c r="M241"/>
    </row>
    <row r="242" spans="1:13" x14ac:dyDescent="0.45">
      <c r="A242" s="2" t="s">
        <v>548</v>
      </c>
      <c r="B242" s="2" t="s">
        <v>1</v>
      </c>
      <c r="C242" s="2" t="s">
        <v>209</v>
      </c>
      <c r="D242" s="2" t="s">
        <v>11</v>
      </c>
      <c r="E242" s="2" t="s">
        <v>4</v>
      </c>
      <c r="F242" s="2" t="s">
        <v>5</v>
      </c>
      <c r="G242" s="2">
        <v>2017</v>
      </c>
      <c r="H242" s="2">
        <v>7405.6</v>
      </c>
      <c r="I242" s="2">
        <v>6405.3</v>
      </c>
      <c r="J242" s="2">
        <v>1014.5</v>
      </c>
      <c r="L242"/>
      <c r="M242"/>
    </row>
    <row r="243" spans="1:13" x14ac:dyDescent="0.45">
      <c r="A243" s="2" t="s">
        <v>221</v>
      </c>
      <c r="B243" s="2" t="s">
        <v>1</v>
      </c>
      <c r="C243" s="2" t="s">
        <v>8</v>
      </c>
      <c r="D243" s="2" t="s">
        <v>3</v>
      </c>
      <c r="E243" s="2" t="s">
        <v>4</v>
      </c>
      <c r="F243" s="2" t="s">
        <v>5</v>
      </c>
      <c r="G243" s="2">
        <v>2008</v>
      </c>
      <c r="H243" s="2">
        <v>15086.8</v>
      </c>
      <c r="I243" s="2">
        <v>10607.6</v>
      </c>
      <c r="J243" s="2">
        <v>4483.8999999999996</v>
      </c>
      <c r="L243"/>
      <c r="M243"/>
    </row>
    <row r="244" spans="1:13" x14ac:dyDescent="0.45">
      <c r="A244" s="2" t="s">
        <v>449</v>
      </c>
      <c r="B244" s="2" t="s">
        <v>1</v>
      </c>
      <c r="C244" s="2" t="s">
        <v>8</v>
      </c>
      <c r="D244" s="2" t="s">
        <v>3</v>
      </c>
      <c r="E244" s="2" t="s">
        <v>38</v>
      </c>
      <c r="F244" s="2" t="s">
        <v>35</v>
      </c>
      <c r="G244" s="2">
        <v>2003</v>
      </c>
      <c r="H244" s="2">
        <v>8647.7999999999993</v>
      </c>
      <c r="I244" s="2">
        <v>8598.1</v>
      </c>
      <c r="J244" s="2">
        <v>54</v>
      </c>
      <c r="L244"/>
      <c r="M244"/>
    </row>
    <row r="245" spans="1:13" x14ac:dyDescent="0.45">
      <c r="A245" s="2" t="s">
        <v>174</v>
      </c>
      <c r="B245" s="2" t="s">
        <v>1</v>
      </c>
      <c r="C245" s="2" t="s">
        <v>8</v>
      </c>
      <c r="D245" s="2" t="s">
        <v>3</v>
      </c>
      <c r="E245" s="2" t="s">
        <v>4</v>
      </c>
      <c r="F245" s="2" t="s">
        <v>5</v>
      </c>
      <c r="G245" s="2">
        <v>2009</v>
      </c>
      <c r="H245" s="2">
        <v>17738.8</v>
      </c>
      <c r="I245" s="2">
        <v>11748.1</v>
      </c>
      <c r="J245" s="2">
        <v>5997.1</v>
      </c>
      <c r="L245"/>
      <c r="M245"/>
    </row>
    <row r="246" spans="1:13" x14ac:dyDescent="0.45">
      <c r="A246" s="2" t="s">
        <v>580</v>
      </c>
      <c r="B246" s="2" t="s">
        <v>1</v>
      </c>
      <c r="C246" s="2" t="s">
        <v>8</v>
      </c>
      <c r="D246" s="2" t="s">
        <v>3</v>
      </c>
      <c r="E246" s="2" t="s">
        <v>278</v>
      </c>
      <c r="F246" s="2" t="s">
        <v>35</v>
      </c>
      <c r="G246" s="2">
        <v>1994</v>
      </c>
      <c r="H246" s="2">
        <v>6976.4</v>
      </c>
      <c r="I246" s="2">
        <v>4188.3999999999996</v>
      </c>
      <c r="J246" s="2">
        <v>2798.5</v>
      </c>
      <c r="L246"/>
      <c r="M246"/>
    </row>
    <row r="247" spans="1:13" x14ac:dyDescent="0.45">
      <c r="A247" s="2" t="s">
        <v>524</v>
      </c>
      <c r="B247" s="2" t="s">
        <v>1</v>
      </c>
      <c r="C247" s="2" t="s">
        <v>58</v>
      </c>
      <c r="D247" s="2" t="s">
        <v>59</v>
      </c>
      <c r="E247" s="2" t="s">
        <v>9</v>
      </c>
      <c r="F247" s="2" t="s">
        <v>5</v>
      </c>
      <c r="G247" s="2">
        <v>1999</v>
      </c>
      <c r="H247" s="2">
        <v>7689.5</v>
      </c>
      <c r="I247" s="2">
        <v>107.1</v>
      </c>
      <c r="J247" s="2">
        <v>7598.6</v>
      </c>
      <c r="L247"/>
      <c r="M247"/>
    </row>
    <row r="248" spans="1:13" x14ac:dyDescent="0.45">
      <c r="A248" s="2" t="s">
        <v>146</v>
      </c>
      <c r="B248" s="2" t="s">
        <v>1</v>
      </c>
      <c r="C248" s="2" t="s">
        <v>147</v>
      </c>
      <c r="D248" s="2" t="s">
        <v>3</v>
      </c>
      <c r="E248" s="2" t="s">
        <v>47</v>
      </c>
      <c r="F248" s="2" t="s">
        <v>5</v>
      </c>
      <c r="G248" s="2">
        <v>2013</v>
      </c>
      <c r="H248" s="2">
        <v>19707.8</v>
      </c>
      <c r="I248" s="2">
        <v>17829.8</v>
      </c>
      <c r="J248" s="2">
        <v>1883.3</v>
      </c>
      <c r="L248"/>
      <c r="M248"/>
    </row>
    <row r="249" spans="1:13" x14ac:dyDescent="0.45">
      <c r="A249" s="2" t="s">
        <v>379</v>
      </c>
      <c r="B249" s="2" t="s">
        <v>1</v>
      </c>
      <c r="C249" s="2" t="s">
        <v>76</v>
      </c>
      <c r="D249" s="2" t="s">
        <v>11</v>
      </c>
      <c r="E249" s="2" t="s">
        <v>77</v>
      </c>
      <c r="F249" s="2" t="s">
        <v>35</v>
      </c>
      <c r="G249" s="2">
        <v>1997</v>
      </c>
      <c r="H249" s="2">
        <v>10147.9</v>
      </c>
      <c r="I249" s="2">
        <v>10065.9</v>
      </c>
      <c r="J249" s="2">
        <v>89.1</v>
      </c>
      <c r="L249"/>
      <c r="M249"/>
    </row>
    <row r="250" spans="1:13" x14ac:dyDescent="0.45">
      <c r="A250" s="2" t="s">
        <v>348</v>
      </c>
      <c r="B250" s="2" t="s">
        <v>1</v>
      </c>
      <c r="C250" s="2" t="s">
        <v>20</v>
      </c>
      <c r="D250" s="2" t="s">
        <v>3</v>
      </c>
      <c r="E250" s="2" t="s">
        <v>9</v>
      </c>
      <c r="F250" s="2" t="s">
        <v>5</v>
      </c>
      <c r="G250" s="2">
        <v>2010</v>
      </c>
      <c r="H250" s="2">
        <v>10783.2</v>
      </c>
      <c r="I250" s="2">
        <v>7412.3</v>
      </c>
      <c r="J250" s="2">
        <v>3373.2</v>
      </c>
      <c r="L250"/>
      <c r="M250"/>
    </row>
    <row r="251" spans="1:13" x14ac:dyDescent="0.45">
      <c r="A251" s="2" t="s">
        <v>61</v>
      </c>
      <c r="B251" s="2" t="s">
        <v>7</v>
      </c>
      <c r="C251" s="2" t="s">
        <v>8</v>
      </c>
      <c r="D251" s="2" t="s">
        <v>3</v>
      </c>
      <c r="E251" s="2" t="s">
        <v>9</v>
      </c>
      <c r="F251" s="2" t="s">
        <v>5</v>
      </c>
      <c r="G251" s="2">
        <v>2008</v>
      </c>
      <c r="H251" s="2">
        <v>37565.4</v>
      </c>
      <c r="I251" s="2">
        <v>37009.699999999997</v>
      </c>
      <c r="J251" s="2">
        <v>572</v>
      </c>
      <c r="L251"/>
      <c r="M251"/>
    </row>
    <row r="252" spans="1:13" x14ac:dyDescent="0.45">
      <c r="A252" s="2" t="s">
        <v>43</v>
      </c>
      <c r="B252" s="2" t="s">
        <v>7</v>
      </c>
      <c r="C252" s="2" t="s">
        <v>8</v>
      </c>
      <c r="D252" s="2" t="s">
        <v>3</v>
      </c>
      <c r="E252" s="2" t="s">
        <v>44</v>
      </c>
      <c r="F252" s="2" t="s">
        <v>5</v>
      </c>
      <c r="G252" s="2">
        <v>2010</v>
      </c>
      <c r="H252" s="2">
        <v>42464.1</v>
      </c>
      <c r="I252" s="2">
        <v>38477.300000000003</v>
      </c>
      <c r="J252" s="2">
        <v>3986.8</v>
      </c>
      <c r="L252"/>
      <c r="M252"/>
    </row>
    <row r="253" spans="1:13" x14ac:dyDescent="0.45">
      <c r="A253" s="2" t="s">
        <v>543</v>
      </c>
      <c r="B253" s="2" t="s">
        <v>1</v>
      </c>
      <c r="C253" s="2" t="s">
        <v>8</v>
      </c>
      <c r="D253" s="2" t="s">
        <v>3</v>
      </c>
      <c r="E253" s="2" t="s">
        <v>9</v>
      </c>
      <c r="F253" s="2" t="s">
        <v>35</v>
      </c>
      <c r="G253" s="2">
        <v>2014</v>
      </c>
      <c r="H253" s="2">
        <v>7453.2</v>
      </c>
      <c r="I253" s="2">
        <v>2524.9</v>
      </c>
      <c r="J253" s="2">
        <v>4942.3999999999996</v>
      </c>
      <c r="L253"/>
      <c r="M253"/>
    </row>
    <row r="254" spans="1:13" x14ac:dyDescent="0.45">
      <c r="A254" s="2" t="s">
        <v>559</v>
      </c>
      <c r="B254" s="2" t="s">
        <v>7</v>
      </c>
      <c r="C254" s="2" t="s">
        <v>560</v>
      </c>
      <c r="D254" s="2" t="s">
        <v>3</v>
      </c>
      <c r="E254" s="2" t="s">
        <v>9</v>
      </c>
      <c r="F254" s="2" t="s">
        <v>5</v>
      </c>
      <c r="G254" s="2">
        <v>2020</v>
      </c>
      <c r="H254" s="2">
        <v>7286.8</v>
      </c>
      <c r="I254" s="2">
        <v>4703.7</v>
      </c>
      <c r="J254" s="2">
        <v>2609.5</v>
      </c>
      <c r="L254"/>
      <c r="M254"/>
    </row>
    <row r="255" spans="1:13" x14ac:dyDescent="0.45">
      <c r="A255" s="2" t="s">
        <v>306</v>
      </c>
      <c r="B255" s="2" t="s">
        <v>1</v>
      </c>
      <c r="C255" s="2" t="s">
        <v>8</v>
      </c>
      <c r="D255" s="2" t="s">
        <v>3</v>
      </c>
      <c r="E255" s="2" t="s">
        <v>9</v>
      </c>
      <c r="F255" s="2" t="s">
        <v>5</v>
      </c>
      <c r="G255" s="2">
        <v>2015</v>
      </c>
      <c r="H255" s="2">
        <v>11966.9</v>
      </c>
      <c r="I255" s="2">
        <v>10802.2</v>
      </c>
      <c r="J255" s="2">
        <v>1167.0999999999999</v>
      </c>
      <c r="L255"/>
      <c r="M255"/>
    </row>
    <row r="256" spans="1:13" x14ac:dyDescent="0.45">
      <c r="A256" s="2" t="s">
        <v>385</v>
      </c>
      <c r="B256" s="2" t="s">
        <v>65</v>
      </c>
      <c r="C256" s="2" t="s">
        <v>8</v>
      </c>
      <c r="D256" s="2" t="s">
        <v>3</v>
      </c>
      <c r="E256" s="2" t="s">
        <v>126</v>
      </c>
      <c r="F256" s="2" t="s">
        <v>35</v>
      </c>
      <c r="G256" s="2">
        <v>2009</v>
      </c>
      <c r="H256" s="2">
        <v>10048.299999999999</v>
      </c>
      <c r="I256" s="2">
        <v>3456.4</v>
      </c>
      <c r="J256" s="2">
        <v>6591.9</v>
      </c>
      <c r="L256"/>
      <c r="M256"/>
    </row>
    <row r="257" spans="1:13" x14ac:dyDescent="0.45">
      <c r="A257" s="2" t="s">
        <v>392</v>
      </c>
      <c r="B257" s="2" t="s">
        <v>1</v>
      </c>
      <c r="C257" s="2" t="s">
        <v>20</v>
      </c>
      <c r="D257" s="2" t="s">
        <v>3</v>
      </c>
      <c r="E257" s="2" t="s">
        <v>38</v>
      </c>
      <c r="F257" s="2" t="s">
        <v>35</v>
      </c>
      <c r="G257" s="2">
        <v>1969</v>
      </c>
      <c r="H257" s="2">
        <v>9909.5</v>
      </c>
      <c r="I257" s="2">
        <v>9912.7999999999993</v>
      </c>
      <c r="J257" s="2">
        <v>0</v>
      </c>
      <c r="L257"/>
      <c r="M257"/>
    </row>
    <row r="258" spans="1:13" x14ac:dyDescent="0.45">
      <c r="A258" s="2" t="s">
        <v>250</v>
      </c>
      <c r="B258" s="2" t="s">
        <v>1</v>
      </c>
      <c r="C258" s="2" t="s">
        <v>8</v>
      </c>
      <c r="D258" s="2" t="s">
        <v>11</v>
      </c>
      <c r="E258" s="2" t="s">
        <v>12</v>
      </c>
      <c r="F258" s="2" t="s">
        <v>5</v>
      </c>
      <c r="G258" s="2">
        <v>2009</v>
      </c>
      <c r="H258" s="2">
        <v>13994</v>
      </c>
      <c r="I258" s="2">
        <v>944.9</v>
      </c>
      <c r="J258" s="2">
        <v>13049.1</v>
      </c>
      <c r="L258"/>
      <c r="M258"/>
    </row>
    <row r="259" spans="1:13" x14ac:dyDescent="0.45">
      <c r="A259" s="2" t="s">
        <v>247</v>
      </c>
      <c r="B259" s="2" t="s">
        <v>1</v>
      </c>
      <c r="C259" s="2" t="s">
        <v>72</v>
      </c>
      <c r="D259" s="2" t="s">
        <v>3</v>
      </c>
      <c r="E259" s="2" t="s">
        <v>9</v>
      </c>
      <c r="F259" s="2" t="s">
        <v>5</v>
      </c>
      <c r="G259" s="2">
        <v>2017</v>
      </c>
      <c r="H259" s="2">
        <v>14087.8</v>
      </c>
      <c r="I259" s="2">
        <v>14091.2</v>
      </c>
      <c r="J259" s="2">
        <v>0</v>
      </c>
      <c r="L259"/>
      <c r="M259"/>
    </row>
    <row r="260" spans="1:13" x14ac:dyDescent="0.45">
      <c r="A260" s="2" t="s">
        <v>63</v>
      </c>
      <c r="B260" s="2" t="s">
        <v>1</v>
      </c>
      <c r="C260" s="2" t="s">
        <v>8</v>
      </c>
      <c r="D260" s="2" t="s">
        <v>3</v>
      </c>
      <c r="E260" s="2" t="s">
        <v>4</v>
      </c>
      <c r="F260" s="2" t="s">
        <v>5</v>
      </c>
      <c r="G260" s="2">
        <v>2017</v>
      </c>
      <c r="H260" s="2">
        <v>35931.9</v>
      </c>
      <c r="I260" s="2">
        <v>18773.5</v>
      </c>
      <c r="J260" s="2">
        <v>17171.5</v>
      </c>
      <c r="L260"/>
      <c r="M260"/>
    </row>
    <row r="261" spans="1:13" x14ac:dyDescent="0.45">
      <c r="A261" s="2" t="s">
        <v>216</v>
      </c>
      <c r="B261" s="2" t="s">
        <v>1</v>
      </c>
      <c r="C261" s="2" t="s">
        <v>8</v>
      </c>
      <c r="D261" s="2" t="s">
        <v>3</v>
      </c>
      <c r="E261" s="2" t="s">
        <v>4</v>
      </c>
      <c r="F261" s="2" t="s">
        <v>5</v>
      </c>
      <c r="G261" s="2">
        <v>2011</v>
      </c>
      <c r="H261" s="2">
        <v>15329.4</v>
      </c>
      <c r="I261" s="2">
        <v>6848.7</v>
      </c>
      <c r="J261" s="2">
        <v>8480.7000000000007</v>
      </c>
      <c r="L261"/>
      <c r="M261"/>
    </row>
    <row r="262" spans="1:13" x14ac:dyDescent="0.45">
      <c r="A262" s="2" t="s">
        <v>276</v>
      </c>
      <c r="B262" s="2" t="s">
        <v>1</v>
      </c>
      <c r="C262" s="2" t="s">
        <v>8</v>
      </c>
      <c r="D262" s="2" t="s">
        <v>3</v>
      </c>
      <c r="E262" s="2" t="s">
        <v>4</v>
      </c>
      <c r="F262" s="2" t="s">
        <v>5</v>
      </c>
      <c r="G262" s="2">
        <v>2018</v>
      </c>
      <c r="H262" s="2">
        <v>13039.8</v>
      </c>
      <c r="I262" s="2">
        <v>12982.3</v>
      </c>
      <c r="J262" s="2">
        <v>59.7</v>
      </c>
      <c r="L262"/>
      <c r="M262"/>
    </row>
    <row r="263" spans="1:13" x14ac:dyDescent="0.45">
      <c r="A263" s="2" t="s">
        <v>161</v>
      </c>
      <c r="B263" s="2" t="s">
        <v>1</v>
      </c>
      <c r="C263" s="2" t="s">
        <v>8</v>
      </c>
      <c r="D263" s="2" t="s">
        <v>3</v>
      </c>
      <c r="E263" s="2" t="s">
        <v>4</v>
      </c>
      <c r="F263" s="2" t="s">
        <v>5</v>
      </c>
      <c r="G263" s="2">
        <v>2014</v>
      </c>
      <c r="H263" s="2">
        <v>18649.5</v>
      </c>
      <c r="I263" s="2">
        <v>17855.2</v>
      </c>
      <c r="J263" s="2">
        <v>801</v>
      </c>
      <c r="L263"/>
      <c r="M263"/>
    </row>
    <row r="264" spans="1:13" x14ac:dyDescent="0.45">
      <c r="A264" s="2" t="s">
        <v>311</v>
      </c>
      <c r="B264" s="2" t="s">
        <v>1</v>
      </c>
      <c r="C264" s="2" t="s">
        <v>8</v>
      </c>
      <c r="D264" s="2" t="s">
        <v>3</v>
      </c>
      <c r="E264" s="2" t="s">
        <v>4</v>
      </c>
      <c r="F264" s="2" t="s">
        <v>5</v>
      </c>
      <c r="G264" s="2">
        <v>2017</v>
      </c>
      <c r="H264" s="2">
        <v>11783.3</v>
      </c>
      <c r="I264" s="2">
        <v>10687.5</v>
      </c>
      <c r="J264" s="2">
        <v>1099.4000000000001</v>
      </c>
      <c r="L264"/>
      <c r="M264"/>
    </row>
    <row r="265" spans="1:13" x14ac:dyDescent="0.45">
      <c r="A265" s="2" t="s">
        <v>414</v>
      </c>
      <c r="B265" s="2" t="s">
        <v>1</v>
      </c>
      <c r="C265" s="2" t="s">
        <v>8</v>
      </c>
      <c r="D265" s="2" t="s">
        <v>3</v>
      </c>
      <c r="E265" s="2" t="s">
        <v>4</v>
      </c>
      <c r="F265" s="2" t="s">
        <v>5</v>
      </c>
      <c r="G265" s="2">
        <v>2017</v>
      </c>
      <c r="H265" s="2">
        <v>9314.7999999999993</v>
      </c>
      <c r="I265" s="2">
        <v>5409.5</v>
      </c>
      <c r="J265" s="2">
        <v>3905.3</v>
      </c>
      <c r="L265"/>
      <c r="M265"/>
    </row>
    <row r="266" spans="1:13" x14ac:dyDescent="0.45">
      <c r="A266" s="2" t="s">
        <v>79</v>
      </c>
      <c r="B266" s="2" t="s">
        <v>1</v>
      </c>
      <c r="C266" s="2" t="s">
        <v>8</v>
      </c>
      <c r="D266" s="2" t="s">
        <v>3</v>
      </c>
      <c r="E266" s="2" t="s">
        <v>4</v>
      </c>
      <c r="F266" s="2" t="s">
        <v>5</v>
      </c>
      <c r="G266" s="2">
        <v>2014</v>
      </c>
      <c r="H266" s="2">
        <v>32115.9</v>
      </c>
      <c r="I266" s="2">
        <v>21117.5</v>
      </c>
      <c r="J266" s="2">
        <v>11006.6</v>
      </c>
      <c r="L266"/>
      <c r="M266"/>
    </row>
    <row r="267" spans="1:13" x14ac:dyDescent="0.45">
      <c r="A267" s="2" t="s">
        <v>54</v>
      </c>
      <c r="B267" s="2" t="s">
        <v>1</v>
      </c>
      <c r="C267" s="2" t="s">
        <v>8</v>
      </c>
      <c r="D267" s="2" t="s">
        <v>3</v>
      </c>
      <c r="E267" s="2" t="s">
        <v>4</v>
      </c>
      <c r="F267" s="2" t="s">
        <v>5</v>
      </c>
      <c r="G267" s="2">
        <v>1997</v>
      </c>
      <c r="H267" s="2">
        <v>40148.199999999997</v>
      </c>
      <c r="I267" s="2">
        <v>15870.4</v>
      </c>
      <c r="J267" s="2">
        <v>24279.9</v>
      </c>
      <c r="L267"/>
      <c r="M267"/>
    </row>
    <row r="268" spans="1:13" x14ac:dyDescent="0.45">
      <c r="A268" s="2" t="s">
        <v>284</v>
      </c>
      <c r="B268" s="2" t="s">
        <v>1</v>
      </c>
      <c r="C268" s="2" t="s">
        <v>8</v>
      </c>
      <c r="D268" s="2" t="s">
        <v>3</v>
      </c>
      <c r="E268" s="2" t="s">
        <v>4</v>
      </c>
      <c r="F268" s="2" t="s">
        <v>5</v>
      </c>
      <c r="G268" s="2">
        <v>2015</v>
      </c>
      <c r="H268" s="2">
        <v>12823.8</v>
      </c>
      <c r="I268" s="2">
        <v>5535</v>
      </c>
      <c r="J268" s="2">
        <v>7288.8</v>
      </c>
      <c r="L268"/>
      <c r="M268"/>
    </row>
    <row r="269" spans="1:13" x14ac:dyDescent="0.45">
      <c r="A269" s="2" t="s">
        <v>578</v>
      </c>
      <c r="B269" s="2" t="s">
        <v>1</v>
      </c>
      <c r="C269" s="2" t="s">
        <v>8</v>
      </c>
      <c r="D269" s="2" t="s">
        <v>3</v>
      </c>
      <c r="E269" s="2" t="s">
        <v>579</v>
      </c>
      <c r="F269" s="2" t="s">
        <v>35</v>
      </c>
      <c r="G269" s="2">
        <v>1997</v>
      </c>
      <c r="H269" s="2">
        <v>7018.9</v>
      </c>
      <c r="I269" s="2">
        <v>7018.4</v>
      </c>
      <c r="J269" s="2">
        <v>5.4</v>
      </c>
      <c r="L269"/>
      <c r="M269"/>
    </row>
    <row r="270" spans="1:13" x14ac:dyDescent="0.45">
      <c r="A270" s="2" t="s">
        <v>74</v>
      </c>
      <c r="B270" s="2" t="s">
        <v>65</v>
      </c>
      <c r="C270" s="2" t="s">
        <v>8</v>
      </c>
      <c r="D270" s="2" t="s">
        <v>3</v>
      </c>
      <c r="E270" s="2" t="s">
        <v>38</v>
      </c>
      <c r="F270" s="2" t="s">
        <v>35</v>
      </c>
      <c r="G270" s="2">
        <v>2000</v>
      </c>
      <c r="H270" s="2">
        <v>33224.699999999997</v>
      </c>
      <c r="I270" s="2">
        <v>31426.6</v>
      </c>
      <c r="J270" s="2">
        <v>1798.1</v>
      </c>
      <c r="L270"/>
      <c r="M270"/>
    </row>
    <row r="271" spans="1:13" x14ac:dyDescent="0.45">
      <c r="A271" s="2" t="s">
        <v>341</v>
      </c>
      <c r="B271" s="2" t="s">
        <v>7</v>
      </c>
      <c r="C271" s="2" t="s">
        <v>20</v>
      </c>
      <c r="D271" s="2" t="s">
        <v>3</v>
      </c>
      <c r="E271" s="2" t="s">
        <v>9</v>
      </c>
      <c r="F271" s="2" t="s">
        <v>35</v>
      </c>
      <c r="G271" s="2">
        <v>2011</v>
      </c>
      <c r="H271" s="2">
        <v>10985.7</v>
      </c>
      <c r="I271" s="2">
        <v>0</v>
      </c>
      <c r="J271" s="2">
        <v>11024.9</v>
      </c>
      <c r="L271"/>
      <c r="M271"/>
    </row>
    <row r="272" spans="1:13" x14ac:dyDescent="0.45">
      <c r="A272" s="2" t="s">
        <v>279</v>
      </c>
      <c r="B272" s="2" t="s">
        <v>1</v>
      </c>
      <c r="C272" s="2" t="s">
        <v>8</v>
      </c>
      <c r="D272" s="2" t="s">
        <v>3</v>
      </c>
      <c r="E272" s="2" t="s">
        <v>4</v>
      </c>
      <c r="F272" s="2" t="s">
        <v>5</v>
      </c>
      <c r="G272" s="2">
        <v>2009</v>
      </c>
      <c r="H272" s="2">
        <v>12994.4</v>
      </c>
      <c r="I272" s="2">
        <v>12999.7</v>
      </c>
      <c r="J272" s="2">
        <v>0</v>
      </c>
      <c r="L272"/>
      <c r="M272"/>
    </row>
    <row r="273" spans="1:13" x14ac:dyDescent="0.45">
      <c r="A273" s="2" t="s">
        <v>312</v>
      </c>
      <c r="B273" s="2" t="s">
        <v>7</v>
      </c>
      <c r="C273" s="2" t="s">
        <v>313</v>
      </c>
      <c r="D273" s="2" t="s">
        <v>3</v>
      </c>
      <c r="E273" s="2" t="s">
        <v>9</v>
      </c>
      <c r="F273" s="2" t="s">
        <v>5</v>
      </c>
      <c r="G273" s="2">
        <v>2012</v>
      </c>
      <c r="H273" s="2">
        <v>11721</v>
      </c>
      <c r="I273" s="2">
        <v>11036</v>
      </c>
      <c r="J273" s="2">
        <v>689</v>
      </c>
      <c r="L273"/>
      <c r="M273"/>
    </row>
    <row r="274" spans="1:13" x14ac:dyDescent="0.45">
      <c r="A274" s="2" t="s">
        <v>513</v>
      </c>
      <c r="B274" s="2" t="s">
        <v>65</v>
      </c>
      <c r="C274" s="2" t="s">
        <v>76</v>
      </c>
      <c r="D274" s="2" t="s">
        <v>11</v>
      </c>
      <c r="E274" s="2" t="s">
        <v>69</v>
      </c>
      <c r="F274" s="2" t="s">
        <v>35</v>
      </c>
      <c r="G274" s="2">
        <v>1982</v>
      </c>
      <c r="H274" s="2">
        <v>7838.9</v>
      </c>
      <c r="I274" s="2">
        <v>7528</v>
      </c>
      <c r="J274" s="2">
        <v>310.89999999999998</v>
      </c>
      <c r="L274"/>
      <c r="M274"/>
    </row>
    <row r="275" spans="1:13" x14ac:dyDescent="0.45">
      <c r="A275" s="2" t="s">
        <v>574</v>
      </c>
      <c r="B275" s="2" t="s">
        <v>1</v>
      </c>
      <c r="C275" s="2" t="s">
        <v>76</v>
      </c>
      <c r="D275" s="2" t="s">
        <v>11</v>
      </c>
      <c r="E275" s="2" t="s">
        <v>69</v>
      </c>
      <c r="F275" s="2" t="s">
        <v>35</v>
      </c>
      <c r="G275" s="2">
        <v>1977</v>
      </c>
      <c r="H275" s="2">
        <v>7059.2</v>
      </c>
      <c r="I275" s="2">
        <v>6607.2</v>
      </c>
      <c r="J275" s="2">
        <v>446.9</v>
      </c>
      <c r="L275"/>
      <c r="M275"/>
    </row>
    <row r="276" spans="1:13" x14ac:dyDescent="0.45">
      <c r="A276" s="2" t="s">
        <v>447</v>
      </c>
      <c r="B276" s="2" t="s">
        <v>1</v>
      </c>
      <c r="C276" s="2" t="s">
        <v>448</v>
      </c>
      <c r="D276" s="2" t="s">
        <v>3</v>
      </c>
      <c r="E276" s="2" t="s">
        <v>47</v>
      </c>
      <c r="F276" s="2" t="s">
        <v>5</v>
      </c>
      <c r="G276" s="2">
        <v>2014</v>
      </c>
      <c r="H276" s="2">
        <v>8699.2000000000007</v>
      </c>
      <c r="I276" s="2">
        <v>8316.2000000000007</v>
      </c>
      <c r="J276" s="2">
        <v>386.2</v>
      </c>
      <c r="L276"/>
      <c r="M276"/>
    </row>
    <row r="277" spans="1:13" x14ac:dyDescent="0.45">
      <c r="A277" s="2" t="s">
        <v>547</v>
      </c>
      <c r="B277" s="2" t="s">
        <v>1</v>
      </c>
      <c r="C277" s="2" t="s">
        <v>153</v>
      </c>
      <c r="D277" s="2" t="s">
        <v>154</v>
      </c>
      <c r="E277" s="2" t="s">
        <v>155</v>
      </c>
      <c r="F277" s="2" t="s">
        <v>5</v>
      </c>
      <c r="G277" s="2">
        <v>2009</v>
      </c>
      <c r="H277" s="2">
        <v>7416.8</v>
      </c>
      <c r="I277" s="2">
        <v>4668.1000000000004</v>
      </c>
      <c r="J277" s="2">
        <v>2767</v>
      </c>
      <c r="L277"/>
      <c r="M277"/>
    </row>
    <row r="278" spans="1:13" x14ac:dyDescent="0.45">
      <c r="A278" s="2" t="s">
        <v>370</v>
      </c>
      <c r="B278" s="2" t="s">
        <v>1</v>
      </c>
      <c r="C278" s="2" t="s">
        <v>8</v>
      </c>
      <c r="D278" s="2" t="s">
        <v>3</v>
      </c>
      <c r="E278" s="2" t="s">
        <v>4</v>
      </c>
      <c r="F278" s="2" t="s">
        <v>5</v>
      </c>
      <c r="G278" s="2">
        <v>1999</v>
      </c>
      <c r="H278" s="2">
        <v>10293</v>
      </c>
      <c r="I278" s="2">
        <v>6016.2</v>
      </c>
      <c r="J278" s="2">
        <v>4284.3</v>
      </c>
      <c r="L278"/>
      <c r="M278"/>
    </row>
    <row r="279" spans="1:13" x14ac:dyDescent="0.45">
      <c r="A279" s="2" t="s">
        <v>397</v>
      </c>
      <c r="B279" s="2" t="s">
        <v>1</v>
      </c>
      <c r="C279" s="2" t="s">
        <v>8</v>
      </c>
      <c r="D279" s="2" t="s">
        <v>11</v>
      </c>
      <c r="E279" s="2" t="s">
        <v>69</v>
      </c>
      <c r="F279" s="2" t="s">
        <v>5</v>
      </c>
      <c r="G279" s="2">
        <v>1998</v>
      </c>
      <c r="H279" s="2">
        <v>9862.6</v>
      </c>
      <c r="I279" s="2">
        <v>4889.8</v>
      </c>
      <c r="J279" s="2">
        <v>4976.3999999999996</v>
      </c>
      <c r="L279"/>
      <c r="M279"/>
    </row>
    <row r="280" spans="1:13" x14ac:dyDescent="0.45">
      <c r="A280" s="2" t="s">
        <v>180</v>
      </c>
      <c r="B280" s="2" t="s">
        <v>1</v>
      </c>
      <c r="C280" s="2" t="s">
        <v>76</v>
      </c>
      <c r="D280" s="2" t="s">
        <v>11</v>
      </c>
      <c r="E280" s="2" t="s">
        <v>69</v>
      </c>
      <c r="F280" s="2" t="s">
        <v>5</v>
      </c>
      <c r="G280" s="2">
        <v>1982</v>
      </c>
      <c r="H280" s="2">
        <v>17314.099999999999</v>
      </c>
      <c r="I280" s="2">
        <v>17301.5</v>
      </c>
      <c r="J280" s="2">
        <v>20</v>
      </c>
      <c r="L280"/>
      <c r="M280"/>
    </row>
    <row r="281" spans="1:13" x14ac:dyDescent="0.45">
      <c r="A281" s="2" t="s">
        <v>285</v>
      </c>
      <c r="B281" s="2" t="s">
        <v>1</v>
      </c>
      <c r="C281" s="2" t="s">
        <v>76</v>
      </c>
      <c r="D281" s="2" t="s">
        <v>11</v>
      </c>
      <c r="E281" s="2" t="s">
        <v>77</v>
      </c>
      <c r="F281" s="2" t="s">
        <v>5</v>
      </c>
      <c r="G281" s="2">
        <v>2018</v>
      </c>
      <c r="H281" s="2">
        <v>12810.9</v>
      </c>
      <c r="I281" s="2">
        <v>6582.9</v>
      </c>
      <c r="J281" s="2">
        <v>6236.2</v>
      </c>
      <c r="L281"/>
      <c r="M281"/>
    </row>
    <row r="282" spans="1:13" x14ac:dyDescent="0.45">
      <c r="A282" s="2" t="s">
        <v>417</v>
      </c>
      <c r="B282" s="2" t="s">
        <v>1</v>
      </c>
      <c r="C282" s="2" t="s">
        <v>8</v>
      </c>
      <c r="D282" s="2" t="s">
        <v>3</v>
      </c>
      <c r="E282" s="2" t="s">
        <v>85</v>
      </c>
      <c r="F282" s="2" t="s">
        <v>5</v>
      </c>
      <c r="G282" s="2">
        <v>2007</v>
      </c>
      <c r="H282" s="2">
        <v>9213.5</v>
      </c>
      <c r="I282" s="2">
        <v>9212.7000000000007</v>
      </c>
      <c r="J282" s="2">
        <v>8.3000000000000007</v>
      </c>
      <c r="L282"/>
      <c r="M282"/>
    </row>
    <row r="283" spans="1:13" x14ac:dyDescent="0.45">
      <c r="A283" s="2" t="s">
        <v>156</v>
      </c>
      <c r="B283" s="2" t="s">
        <v>1</v>
      </c>
      <c r="C283" s="2" t="s">
        <v>8</v>
      </c>
      <c r="D283" s="2" t="s">
        <v>3</v>
      </c>
      <c r="E283" s="2" t="s">
        <v>85</v>
      </c>
      <c r="F283" s="2" t="s">
        <v>5</v>
      </c>
      <c r="G283" s="2">
        <v>2014</v>
      </c>
      <c r="H283" s="2">
        <v>19101.599999999999</v>
      </c>
      <c r="I283" s="2">
        <v>17465.400000000001</v>
      </c>
      <c r="J283" s="2">
        <v>1647.2</v>
      </c>
      <c r="L283"/>
      <c r="M283"/>
    </row>
    <row r="284" spans="1:13" x14ac:dyDescent="0.45">
      <c r="A284" s="2" t="s">
        <v>386</v>
      </c>
      <c r="B284" s="2" t="s">
        <v>1</v>
      </c>
      <c r="C284" s="2" t="s">
        <v>2</v>
      </c>
      <c r="D284" s="2" t="s">
        <v>3</v>
      </c>
      <c r="E284" s="2" t="s">
        <v>38</v>
      </c>
      <c r="F284" s="2" t="s">
        <v>5</v>
      </c>
      <c r="G284" s="2">
        <v>2012</v>
      </c>
      <c r="H284" s="2">
        <v>9970.2000000000007</v>
      </c>
      <c r="I284" s="2">
        <v>9813.7000000000007</v>
      </c>
      <c r="J284" s="2">
        <v>161.5</v>
      </c>
      <c r="L284"/>
      <c r="M284"/>
    </row>
    <row r="285" spans="1:13" x14ac:dyDescent="0.45">
      <c r="A285" s="2" t="s">
        <v>142</v>
      </c>
      <c r="B285" s="2" t="s">
        <v>1</v>
      </c>
      <c r="C285" s="2" t="s">
        <v>8</v>
      </c>
      <c r="D285" s="2" t="s">
        <v>3</v>
      </c>
      <c r="E285" s="2" t="s">
        <v>4</v>
      </c>
      <c r="F285" s="2" t="s">
        <v>5</v>
      </c>
      <c r="G285" s="2">
        <v>2007</v>
      </c>
      <c r="H285" s="2">
        <v>20091.099999999999</v>
      </c>
      <c r="I285" s="2">
        <v>18765.5</v>
      </c>
      <c r="J285" s="2">
        <v>1328</v>
      </c>
      <c r="L285"/>
      <c r="M285"/>
    </row>
    <row r="286" spans="1:13" x14ac:dyDescent="0.45">
      <c r="A286" s="2" t="s">
        <v>294</v>
      </c>
      <c r="B286" s="2" t="s">
        <v>1</v>
      </c>
      <c r="C286" s="2" t="s">
        <v>8</v>
      </c>
      <c r="D286" s="2" t="s">
        <v>3</v>
      </c>
      <c r="E286" s="2" t="s">
        <v>4</v>
      </c>
      <c r="F286" s="2" t="s">
        <v>5</v>
      </c>
      <c r="G286" s="2">
        <v>2000</v>
      </c>
      <c r="H286" s="2">
        <v>12593.2</v>
      </c>
      <c r="I286" s="2">
        <v>6266</v>
      </c>
      <c r="J286" s="2">
        <v>6330.7</v>
      </c>
      <c r="L286"/>
      <c r="M286"/>
    </row>
    <row r="287" spans="1:13" x14ac:dyDescent="0.45">
      <c r="A287" s="2" t="s">
        <v>553</v>
      </c>
      <c r="B287" s="2" t="s">
        <v>65</v>
      </c>
      <c r="C287" s="2" t="s">
        <v>8</v>
      </c>
      <c r="D287" s="2" t="s">
        <v>3</v>
      </c>
      <c r="E287" s="2" t="s">
        <v>4</v>
      </c>
      <c r="F287" s="2" t="s">
        <v>35</v>
      </c>
      <c r="G287" s="2">
        <v>2009</v>
      </c>
      <c r="H287" s="2">
        <v>7347.9</v>
      </c>
      <c r="I287" s="2">
        <v>6711.8</v>
      </c>
      <c r="J287" s="2">
        <v>643.70000000000005</v>
      </c>
      <c r="L287"/>
      <c r="M287"/>
    </row>
    <row r="288" spans="1:13" x14ac:dyDescent="0.45">
      <c r="A288" s="2" t="s">
        <v>307</v>
      </c>
      <c r="B288" s="2" t="s">
        <v>7</v>
      </c>
      <c r="C288" s="2" t="s">
        <v>8</v>
      </c>
      <c r="D288" s="2" t="s">
        <v>3</v>
      </c>
      <c r="E288" s="2" t="s">
        <v>9</v>
      </c>
      <c r="F288" s="2" t="s">
        <v>5</v>
      </c>
      <c r="G288" s="2">
        <v>1982</v>
      </c>
      <c r="H288" s="2">
        <v>11879.6</v>
      </c>
      <c r="I288" s="2">
        <v>10122.700000000001</v>
      </c>
      <c r="J288" s="2">
        <v>1768.2</v>
      </c>
      <c r="L288"/>
      <c r="M288"/>
    </row>
    <row r="289" spans="1:13" x14ac:dyDescent="0.45">
      <c r="A289" s="2" t="s">
        <v>564</v>
      </c>
      <c r="B289" s="2" t="s">
        <v>7</v>
      </c>
      <c r="C289" s="2" t="s">
        <v>394</v>
      </c>
      <c r="D289" s="2" t="s">
        <v>395</v>
      </c>
      <c r="E289" s="2" t="s">
        <v>9</v>
      </c>
      <c r="F289" s="2" t="s">
        <v>5</v>
      </c>
      <c r="G289" s="2">
        <v>1997</v>
      </c>
      <c r="H289" s="2">
        <v>7239.7</v>
      </c>
      <c r="I289" s="2">
        <v>0</v>
      </c>
      <c r="J289" s="2">
        <v>7239.7</v>
      </c>
      <c r="L289"/>
      <c r="M289"/>
    </row>
    <row r="290" spans="1:13" x14ac:dyDescent="0.45">
      <c r="A290" s="2" t="s">
        <v>549</v>
      </c>
      <c r="B290" s="2" t="s">
        <v>7</v>
      </c>
      <c r="C290" s="2" t="s">
        <v>153</v>
      </c>
      <c r="D290" s="2" t="s">
        <v>154</v>
      </c>
      <c r="E290" s="2" t="s">
        <v>155</v>
      </c>
      <c r="F290" s="2" t="s">
        <v>35</v>
      </c>
      <c r="G290" s="2">
        <v>2013</v>
      </c>
      <c r="H290" s="2">
        <v>7388.4</v>
      </c>
      <c r="I290" s="2">
        <v>3471.7</v>
      </c>
      <c r="J290" s="2">
        <v>3933.9</v>
      </c>
      <c r="L290"/>
      <c r="M290"/>
    </row>
    <row r="291" spans="1:13" x14ac:dyDescent="0.45">
      <c r="A291" s="2" t="s">
        <v>273</v>
      </c>
      <c r="B291" s="2" t="s">
        <v>65</v>
      </c>
      <c r="C291" s="2" t="s">
        <v>8</v>
      </c>
      <c r="D291" s="2" t="s">
        <v>3</v>
      </c>
      <c r="E291" s="2" t="s">
        <v>47</v>
      </c>
      <c r="F291" s="2" t="s">
        <v>35</v>
      </c>
      <c r="G291" s="2">
        <v>2009</v>
      </c>
      <c r="H291" s="2">
        <v>13220.4</v>
      </c>
      <c r="I291" s="2">
        <v>11619.7</v>
      </c>
      <c r="J291" s="2">
        <v>1604</v>
      </c>
      <c r="L291"/>
      <c r="M291"/>
    </row>
    <row r="292" spans="1:13" x14ac:dyDescent="0.45">
      <c r="A292" s="2" t="s">
        <v>68</v>
      </c>
      <c r="B292" s="2" t="s">
        <v>1</v>
      </c>
      <c r="C292" s="2" t="s">
        <v>29</v>
      </c>
      <c r="D292" s="2" t="s">
        <v>11</v>
      </c>
      <c r="E292" s="2" t="s">
        <v>69</v>
      </c>
      <c r="F292" s="2" t="s">
        <v>5</v>
      </c>
      <c r="G292" s="2">
        <v>2010</v>
      </c>
      <c r="H292" s="2">
        <v>34841</v>
      </c>
      <c r="I292" s="2">
        <v>19449.8</v>
      </c>
      <c r="J292" s="2">
        <v>15404.7</v>
      </c>
      <c r="L292"/>
      <c r="M292"/>
    </row>
    <row r="293" spans="1:13" x14ac:dyDescent="0.45">
      <c r="A293" s="2" t="s">
        <v>462</v>
      </c>
      <c r="B293" s="2" t="s">
        <v>1</v>
      </c>
      <c r="C293" s="2" t="s">
        <v>8</v>
      </c>
      <c r="D293" s="2" t="s">
        <v>11</v>
      </c>
      <c r="E293" s="2" t="s">
        <v>12</v>
      </c>
      <c r="F293" s="2" t="s">
        <v>35</v>
      </c>
      <c r="G293" s="2">
        <v>2004</v>
      </c>
      <c r="H293" s="2">
        <v>8457.4</v>
      </c>
      <c r="I293" s="2">
        <v>369.6</v>
      </c>
      <c r="J293" s="2">
        <v>8087.7</v>
      </c>
      <c r="L293"/>
      <c r="M293"/>
    </row>
    <row r="294" spans="1:13" x14ac:dyDescent="0.45">
      <c r="A294" s="2" t="s">
        <v>391</v>
      </c>
      <c r="B294" s="2" t="s">
        <v>65</v>
      </c>
      <c r="C294" s="2" t="s">
        <v>76</v>
      </c>
      <c r="D294" s="2" t="s">
        <v>11</v>
      </c>
      <c r="E294" s="2" t="s">
        <v>38</v>
      </c>
      <c r="F294" s="2" t="s">
        <v>35</v>
      </c>
      <c r="G294" s="2">
        <v>1987</v>
      </c>
      <c r="H294" s="2">
        <v>9914.4</v>
      </c>
      <c r="I294" s="2">
        <v>9921.1</v>
      </c>
      <c r="J294" s="2">
        <v>6.1</v>
      </c>
      <c r="L294"/>
      <c r="M294"/>
    </row>
    <row r="295" spans="1:13" x14ac:dyDescent="0.45">
      <c r="A295" s="2" t="s">
        <v>393</v>
      </c>
      <c r="B295" s="2" t="s">
        <v>65</v>
      </c>
      <c r="C295" s="2" t="s">
        <v>394</v>
      </c>
      <c r="D295" s="2" t="s">
        <v>395</v>
      </c>
      <c r="E295" s="2" t="s">
        <v>38</v>
      </c>
      <c r="F295" s="2" t="s">
        <v>35</v>
      </c>
      <c r="G295" s="2">
        <v>2017</v>
      </c>
      <c r="H295" s="2">
        <v>9899.4</v>
      </c>
      <c r="I295" s="2">
        <v>9883</v>
      </c>
      <c r="J295" s="2">
        <v>20.100000000000001</v>
      </c>
      <c r="L295"/>
      <c r="M295"/>
    </row>
    <row r="296" spans="1:13" x14ac:dyDescent="0.45">
      <c r="A296" s="2" t="s">
        <v>158</v>
      </c>
      <c r="B296" s="2" t="s">
        <v>1</v>
      </c>
      <c r="C296" s="2" t="s">
        <v>29</v>
      </c>
      <c r="D296" s="2" t="s">
        <v>11</v>
      </c>
      <c r="E296" s="2" t="s">
        <v>69</v>
      </c>
      <c r="F296" s="2" t="s">
        <v>5</v>
      </c>
      <c r="G296" s="2">
        <v>2016</v>
      </c>
      <c r="H296" s="2">
        <v>18912.7</v>
      </c>
      <c r="I296" s="2">
        <v>8490.9</v>
      </c>
      <c r="J296" s="2">
        <v>10429.4</v>
      </c>
      <c r="L296"/>
      <c r="M296"/>
    </row>
    <row r="297" spans="1:13" x14ac:dyDescent="0.45">
      <c r="A297" s="2" t="s">
        <v>390</v>
      </c>
      <c r="B297" s="2" t="s">
        <v>1</v>
      </c>
      <c r="C297" s="2" t="s">
        <v>8</v>
      </c>
      <c r="D297" s="2" t="s">
        <v>11</v>
      </c>
      <c r="E297" s="2" t="s">
        <v>69</v>
      </c>
      <c r="F297" s="2" t="s">
        <v>5</v>
      </c>
      <c r="G297" s="2">
        <v>1988</v>
      </c>
      <c r="H297" s="2">
        <v>9914.5</v>
      </c>
      <c r="I297" s="2">
        <v>6239</v>
      </c>
      <c r="J297" s="2">
        <v>3689.5</v>
      </c>
      <c r="L297"/>
      <c r="M297"/>
    </row>
    <row r="298" spans="1:13" x14ac:dyDescent="0.45">
      <c r="A298" s="2" t="s">
        <v>363</v>
      </c>
      <c r="B298" s="2" t="s">
        <v>7</v>
      </c>
      <c r="C298" s="2" t="s">
        <v>209</v>
      </c>
      <c r="D298" s="2" t="s">
        <v>11</v>
      </c>
      <c r="E298" s="2" t="s">
        <v>69</v>
      </c>
      <c r="F298" s="2" t="s">
        <v>5</v>
      </c>
      <c r="G298" s="2">
        <v>2019</v>
      </c>
      <c r="H298" s="2">
        <v>10476.9</v>
      </c>
      <c r="I298" s="2">
        <v>3977.8</v>
      </c>
      <c r="J298" s="2">
        <v>6499.1</v>
      </c>
      <c r="L298"/>
      <c r="M298"/>
    </row>
    <row r="299" spans="1:13" x14ac:dyDescent="0.45">
      <c r="A299" s="2" t="s">
        <v>257</v>
      </c>
      <c r="B299" s="2" t="s">
        <v>7</v>
      </c>
      <c r="C299" s="2" t="s">
        <v>8</v>
      </c>
      <c r="D299" s="2" t="s">
        <v>3</v>
      </c>
      <c r="E299" s="2" t="s">
        <v>9</v>
      </c>
      <c r="F299" s="2" t="s">
        <v>5</v>
      </c>
      <c r="G299" s="2">
        <v>1990</v>
      </c>
      <c r="H299" s="2">
        <v>13650.2</v>
      </c>
      <c r="I299" s="2">
        <v>12396.8</v>
      </c>
      <c r="J299" s="2">
        <v>1258.3</v>
      </c>
      <c r="L299"/>
      <c r="M299"/>
    </row>
    <row r="300" spans="1:13" x14ac:dyDescent="0.45">
      <c r="A300" s="2" t="s">
        <v>213</v>
      </c>
      <c r="B300" s="2" t="s">
        <v>7</v>
      </c>
      <c r="C300" s="2" t="s">
        <v>153</v>
      </c>
      <c r="D300" s="2" t="s">
        <v>154</v>
      </c>
      <c r="E300" s="2" t="s">
        <v>155</v>
      </c>
      <c r="F300" s="2" t="s">
        <v>5</v>
      </c>
      <c r="G300" s="2">
        <v>2011</v>
      </c>
      <c r="H300" s="2">
        <v>15528.2</v>
      </c>
      <c r="I300" s="2">
        <v>7743.7</v>
      </c>
      <c r="J300" s="2">
        <v>7783.6</v>
      </c>
      <c r="L300"/>
      <c r="M300"/>
    </row>
    <row r="301" spans="1:13" x14ac:dyDescent="0.45">
      <c r="A301" s="2" t="s">
        <v>470</v>
      </c>
      <c r="B301" s="2" t="s">
        <v>1</v>
      </c>
      <c r="C301" s="2" t="s">
        <v>20</v>
      </c>
      <c r="D301" s="2" t="s">
        <v>3</v>
      </c>
      <c r="E301" s="2" t="s">
        <v>9</v>
      </c>
      <c r="F301" s="2" t="s">
        <v>5</v>
      </c>
      <c r="G301" s="2">
        <v>2003</v>
      </c>
      <c r="H301" s="2">
        <v>8366.2999999999993</v>
      </c>
      <c r="I301" s="2">
        <v>6159.1</v>
      </c>
      <c r="J301" s="2">
        <v>2210.1</v>
      </c>
      <c r="L301"/>
      <c r="M301"/>
    </row>
    <row r="302" spans="1:13" x14ac:dyDescent="0.45">
      <c r="A302" s="2" t="s">
        <v>64</v>
      </c>
      <c r="B302" s="2" t="s">
        <v>65</v>
      </c>
      <c r="C302" s="2" t="s">
        <v>8</v>
      </c>
      <c r="D302" s="2" t="s">
        <v>3</v>
      </c>
      <c r="E302" s="2" t="s">
        <v>9</v>
      </c>
      <c r="F302" s="2" t="s">
        <v>35</v>
      </c>
      <c r="G302" s="2">
        <v>2002</v>
      </c>
      <c r="H302" s="2">
        <v>35794.1</v>
      </c>
      <c r="I302" s="2">
        <v>35585.800000000003</v>
      </c>
      <c r="J302" s="2">
        <v>222.6</v>
      </c>
      <c r="L302"/>
      <c r="M302"/>
    </row>
    <row r="303" spans="1:13" x14ac:dyDescent="0.45">
      <c r="A303" s="2" t="s">
        <v>122</v>
      </c>
      <c r="B303" s="2" t="s">
        <v>1</v>
      </c>
      <c r="C303" s="2" t="s">
        <v>8</v>
      </c>
      <c r="D303" s="2" t="s">
        <v>3</v>
      </c>
      <c r="E303" s="2" t="s">
        <v>47</v>
      </c>
      <c r="F303" s="2" t="s">
        <v>5</v>
      </c>
      <c r="G303" s="2">
        <v>2015</v>
      </c>
      <c r="H303" s="2">
        <v>23705.9</v>
      </c>
      <c r="I303" s="2">
        <v>17589.400000000001</v>
      </c>
      <c r="J303" s="2">
        <v>6122.5</v>
      </c>
      <c r="L303"/>
      <c r="M303"/>
    </row>
    <row r="304" spans="1:13" x14ac:dyDescent="0.45">
      <c r="A304" s="2" t="s">
        <v>263</v>
      </c>
      <c r="B304" s="2" t="s">
        <v>1</v>
      </c>
      <c r="C304" s="2" t="s">
        <v>168</v>
      </c>
      <c r="D304" s="2" t="s">
        <v>3</v>
      </c>
      <c r="E304" s="2" t="s">
        <v>47</v>
      </c>
      <c r="F304" s="2" t="s">
        <v>5</v>
      </c>
      <c r="G304" s="2">
        <v>2012</v>
      </c>
      <c r="H304" s="2">
        <v>13468.7</v>
      </c>
      <c r="I304" s="2">
        <v>12222.3</v>
      </c>
      <c r="J304" s="2">
        <v>1249.7</v>
      </c>
      <c r="L304"/>
      <c r="M304"/>
    </row>
    <row r="305" spans="1:13" x14ac:dyDescent="0.45">
      <c r="A305" s="2" t="s">
        <v>381</v>
      </c>
      <c r="B305" s="2" t="s">
        <v>1</v>
      </c>
      <c r="C305" s="2" t="s">
        <v>153</v>
      </c>
      <c r="D305" s="2" t="s">
        <v>154</v>
      </c>
      <c r="E305" s="2" t="s">
        <v>155</v>
      </c>
      <c r="F305" s="2" t="s">
        <v>35</v>
      </c>
      <c r="G305" s="2">
        <v>2010</v>
      </c>
      <c r="H305" s="2">
        <v>10122.5</v>
      </c>
      <c r="I305" s="2">
        <v>8138.6</v>
      </c>
      <c r="J305" s="2">
        <v>1988.4</v>
      </c>
      <c r="L305"/>
      <c r="M305"/>
    </row>
    <row r="306" spans="1:13" x14ac:dyDescent="0.45">
      <c r="A306" s="2" t="s">
        <v>550</v>
      </c>
      <c r="B306" s="2" t="s">
        <v>1</v>
      </c>
      <c r="C306" s="2" t="s">
        <v>153</v>
      </c>
      <c r="D306" s="2" t="s">
        <v>154</v>
      </c>
      <c r="E306" s="2" t="s">
        <v>69</v>
      </c>
      <c r="F306" s="2" t="s">
        <v>5</v>
      </c>
      <c r="G306" s="2">
        <v>2015</v>
      </c>
      <c r="H306" s="2">
        <v>7387.8</v>
      </c>
      <c r="I306" s="2">
        <v>2807.5</v>
      </c>
      <c r="J306" s="2">
        <v>4581</v>
      </c>
      <c r="L306"/>
      <c r="M306"/>
    </row>
    <row r="307" spans="1:13" x14ac:dyDescent="0.45">
      <c r="A307" s="2" t="s">
        <v>314</v>
      </c>
      <c r="B307" s="2" t="s">
        <v>1</v>
      </c>
      <c r="C307" s="2" t="s">
        <v>153</v>
      </c>
      <c r="D307" s="2" t="s">
        <v>154</v>
      </c>
      <c r="E307" s="2" t="s">
        <v>4</v>
      </c>
      <c r="F307" s="2" t="s">
        <v>5</v>
      </c>
      <c r="G307" s="2">
        <v>2019</v>
      </c>
      <c r="H307" s="2">
        <v>11715.1</v>
      </c>
      <c r="I307" s="2">
        <v>1404.1</v>
      </c>
      <c r="J307" s="2">
        <v>10305.200000000001</v>
      </c>
      <c r="L307"/>
      <c r="M307"/>
    </row>
    <row r="308" spans="1:13" x14ac:dyDescent="0.45">
      <c r="A308" s="2" t="s">
        <v>374</v>
      </c>
      <c r="B308" s="2" t="s">
        <v>1</v>
      </c>
      <c r="C308" s="2" t="s">
        <v>8</v>
      </c>
      <c r="D308" s="2" t="s">
        <v>3</v>
      </c>
      <c r="E308" s="2" t="s">
        <v>4</v>
      </c>
      <c r="F308" s="2" t="s">
        <v>5</v>
      </c>
      <c r="G308" s="2">
        <v>2003</v>
      </c>
      <c r="H308" s="2">
        <v>10231.200000000001</v>
      </c>
      <c r="I308" s="2">
        <v>7551.1</v>
      </c>
      <c r="J308" s="2">
        <v>2685</v>
      </c>
      <c r="L308"/>
      <c r="M308"/>
    </row>
    <row r="309" spans="1:13" x14ac:dyDescent="0.45">
      <c r="A309" s="2" t="s">
        <v>260</v>
      </c>
      <c r="B309" s="2" t="s">
        <v>7</v>
      </c>
      <c r="C309" s="2" t="s">
        <v>8</v>
      </c>
      <c r="D309" s="2" t="s">
        <v>3</v>
      </c>
      <c r="E309" s="2" t="s">
        <v>4</v>
      </c>
      <c r="F309" s="2" t="s">
        <v>5</v>
      </c>
      <c r="G309" s="2">
        <v>2016</v>
      </c>
      <c r="H309" s="2">
        <v>13532</v>
      </c>
      <c r="I309" s="2">
        <v>7853.3</v>
      </c>
      <c r="J309" s="2">
        <v>5683.7</v>
      </c>
      <c r="L309"/>
      <c r="M309"/>
    </row>
    <row r="310" spans="1:13" x14ac:dyDescent="0.45">
      <c r="A310" s="2" t="s">
        <v>310</v>
      </c>
      <c r="B310" s="2" t="s">
        <v>7</v>
      </c>
      <c r="C310" s="2" t="s">
        <v>8</v>
      </c>
      <c r="D310" s="2" t="s">
        <v>3</v>
      </c>
      <c r="E310" s="2" t="s">
        <v>9</v>
      </c>
      <c r="F310" s="2" t="s">
        <v>5</v>
      </c>
      <c r="G310" s="2">
        <v>2009</v>
      </c>
      <c r="H310" s="2">
        <v>11817.1</v>
      </c>
      <c r="I310" s="2">
        <v>9731.6</v>
      </c>
      <c r="J310" s="2">
        <v>2088</v>
      </c>
      <c r="L310"/>
      <c r="M310"/>
    </row>
    <row r="311" spans="1:13" x14ac:dyDescent="0.45">
      <c r="A311" s="2" t="s">
        <v>318</v>
      </c>
      <c r="B311" s="2" t="s">
        <v>7</v>
      </c>
      <c r="C311" s="2" t="s">
        <v>8</v>
      </c>
      <c r="D311" s="2" t="s">
        <v>3</v>
      </c>
      <c r="E311" s="2" t="s">
        <v>9</v>
      </c>
      <c r="F311" s="2" t="s">
        <v>5</v>
      </c>
      <c r="G311" s="2">
        <v>2014</v>
      </c>
      <c r="H311" s="2">
        <v>11632.9</v>
      </c>
      <c r="I311" s="2">
        <v>11637.4</v>
      </c>
      <c r="J311" s="2">
        <v>0</v>
      </c>
      <c r="L311"/>
      <c r="M311"/>
    </row>
    <row r="312" spans="1:13" x14ac:dyDescent="0.45">
      <c r="A312" s="2" t="s">
        <v>162</v>
      </c>
      <c r="B312" s="2" t="s">
        <v>1</v>
      </c>
      <c r="C312" s="2" t="s">
        <v>8</v>
      </c>
      <c r="D312" s="2" t="s">
        <v>3</v>
      </c>
      <c r="E312" s="2" t="s">
        <v>38</v>
      </c>
      <c r="F312" s="2" t="s">
        <v>35</v>
      </c>
      <c r="G312" s="2">
        <v>1983</v>
      </c>
      <c r="H312" s="2">
        <v>18627</v>
      </c>
      <c r="I312" s="2">
        <v>18557</v>
      </c>
      <c r="J312" s="2">
        <v>77.900000000000006</v>
      </c>
      <c r="L312"/>
      <c r="M312"/>
    </row>
    <row r="313" spans="1:13" x14ac:dyDescent="0.45">
      <c r="A313" s="2" t="s">
        <v>93</v>
      </c>
      <c r="B313" s="2" t="s">
        <v>1</v>
      </c>
      <c r="C313" s="2" t="s">
        <v>8</v>
      </c>
      <c r="D313" s="2" t="s">
        <v>3</v>
      </c>
      <c r="E313" s="2" t="s">
        <v>4</v>
      </c>
      <c r="F313" s="2" t="s">
        <v>5</v>
      </c>
      <c r="G313" s="2">
        <v>2013</v>
      </c>
      <c r="H313" s="2">
        <v>28848.7</v>
      </c>
      <c r="I313" s="2">
        <v>13945.2</v>
      </c>
      <c r="J313" s="2">
        <v>14911.9</v>
      </c>
      <c r="L313"/>
      <c r="M313"/>
    </row>
    <row r="314" spans="1:13" x14ac:dyDescent="0.45">
      <c r="A314" s="2" t="s">
        <v>266</v>
      </c>
      <c r="B314" s="2" t="s">
        <v>1</v>
      </c>
      <c r="C314" s="2" t="s">
        <v>8</v>
      </c>
      <c r="D314" s="2" t="s">
        <v>3</v>
      </c>
      <c r="E314" s="2" t="s">
        <v>4</v>
      </c>
      <c r="F314" s="2" t="s">
        <v>5</v>
      </c>
      <c r="G314" s="2">
        <v>2006</v>
      </c>
      <c r="H314" s="2">
        <v>13398.3</v>
      </c>
      <c r="I314" s="2">
        <v>13409.8</v>
      </c>
      <c r="J314" s="2">
        <v>0</v>
      </c>
      <c r="L314"/>
      <c r="M314"/>
    </row>
    <row r="315" spans="1:13" x14ac:dyDescent="0.45">
      <c r="A315" s="2" t="s">
        <v>293</v>
      </c>
      <c r="B315" s="2" t="s">
        <v>1</v>
      </c>
      <c r="C315" s="2" t="s">
        <v>2</v>
      </c>
      <c r="D315" s="2" t="s">
        <v>3</v>
      </c>
      <c r="E315" s="2" t="s">
        <v>9</v>
      </c>
      <c r="F315" s="2" t="s">
        <v>5</v>
      </c>
      <c r="G315" s="2">
        <v>2001</v>
      </c>
      <c r="H315" s="2">
        <v>12647.5</v>
      </c>
      <c r="I315" s="2">
        <v>11934</v>
      </c>
      <c r="J315" s="2">
        <v>715.4</v>
      </c>
      <c r="L315"/>
      <c r="M315"/>
    </row>
    <row r="316" spans="1:13" x14ac:dyDescent="0.45">
      <c r="A316" s="2" t="s">
        <v>111</v>
      </c>
      <c r="B316" s="2" t="s">
        <v>1</v>
      </c>
      <c r="C316" s="2" t="s">
        <v>8</v>
      </c>
      <c r="D316" s="2" t="s">
        <v>3</v>
      </c>
      <c r="E316" s="2" t="s">
        <v>9</v>
      </c>
      <c r="F316" s="2" t="s">
        <v>5</v>
      </c>
      <c r="G316" s="2">
        <v>1964</v>
      </c>
      <c r="H316" s="2">
        <v>25264.400000000001</v>
      </c>
      <c r="I316" s="2">
        <v>24355.5</v>
      </c>
      <c r="J316" s="2">
        <v>908.9</v>
      </c>
      <c r="L316"/>
      <c r="M316"/>
    </row>
    <row r="317" spans="1:13" x14ac:dyDescent="0.45">
      <c r="A317" s="2" t="s">
        <v>211</v>
      </c>
      <c r="B317" s="2" t="s">
        <v>1</v>
      </c>
      <c r="C317" s="2" t="s">
        <v>8</v>
      </c>
      <c r="D317" s="2" t="s">
        <v>3</v>
      </c>
      <c r="E317" s="2" t="s">
        <v>4</v>
      </c>
      <c r="F317" s="2" t="s">
        <v>35</v>
      </c>
      <c r="G317" s="2">
        <v>2013</v>
      </c>
      <c r="H317" s="2">
        <v>15562.1</v>
      </c>
      <c r="I317" s="2">
        <v>13694</v>
      </c>
      <c r="J317" s="2">
        <v>1874.1</v>
      </c>
      <c r="L317"/>
      <c r="M317"/>
    </row>
    <row r="318" spans="1:13" x14ac:dyDescent="0.45">
      <c r="A318" s="2" t="s">
        <v>275</v>
      </c>
      <c r="B318" s="2" t="s">
        <v>1</v>
      </c>
      <c r="C318" s="2" t="s">
        <v>8</v>
      </c>
      <c r="D318" s="2" t="s">
        <v>3</v>
      </c>
      <c r="E318" s="2" t="s">
        <v>14</v>
      </c>
      <c r="F318" s="2" t="s">
        <v>5</v>
      </c>
      <c r="G318" s="2">
        <v>2010</v>
      </c>
      <c r="H318" s="2">
        <v>13065.7</v>
      </c>
      <c r="I318" s="2">
        <v>7612.4</v>
      </c>
      <c r="J318" s="2">
        <v>5460.1</v>
      </c>
      <c r="L318"/>
      <c r="M318"/>
    </row>
    <row r="319" spans="1:13" x14ac:dyDescent="0.45">
      <c r="A319" s="2" t="s">
        <v>120</v>
      </c>
      <c r="B319" s="2" t="s">
        <v>7</v>
      </c>
      <c r="C319" s="2" t="s">
        <v>8</v>
      </c>
      <c r="D319" s="2" t="s">
        <v>3</v>
      </c>
      <c r="E319" s="2" t="s">
        <v>9</v>
      </c>
      <c r="F319" s="2" t="s">
        <v>5</v>
      </c>
      <c r="G319" s="2">
        <v>2006</v>
      </c>
      <c r="H319" s="2">
        <v>23907.599999999999</v>
      </c>
      <c r="I319" s="2">
        <v>20739</v>
      </c>
      <c r="J319" s="2">
        <v>3175.7</v>
      </c>
      <c r="L319"/>
      <c r="M319"/>
    </row>
    <row r="320" spans="1:13" x14ac:dyDescent="0.45">
      <c r="A320" s="2" t="s">
        <v>476</v>
      </c>
      <c r="B320" s="2" t="s">
        <v>1</v>
      </c>
      <c r="C320" s="2" t="s">
        <v>209</v>
      </c>
      <c r="D320" s="2" t="s">
        <v>11</v>
      </c>
      <c r="E320" s="2" t="s">
        <v>4</v>
      </c>
      <c r="F320" s="2" t="s">
        <v>5</v>
      </c>
      <c r="G320" s="2">
        <v>2021</v>
      </c>
      <c r="H320" s="2">
        <v>8309.1</v>
      </c>
      <c r="I320" s="2">
        <v>5592</v>
      </c>
      <c r="J320" s="2">
        <v>2724.4</v>
      </c>
      <c r="L320"/>
      <c r="M320"/>
    </row>
    <row r="321" spans="1:13" x14ac:dyDescent="0.45">
      <c r="A321" s="2" t="s">
        <v>344</v>
      </c>
      <c r="B321" s="2" t="s">
        <v>7</v>
      </c>
      <c r="C321" s="2" t="s">
        <v>232</v>
      </c>
      <c r="D321" s="2" t="s">
        <v>3</v>
      </c>
      <c r="E321" s="2" t="s">
        <v>44</v>
      </c>
      <c r="F321" s="2" t="s">
        <v>5</v>
      </c>
      <c r="G321" s="2">
        <v>2012</v>
      </c>
      <c r="H321" s="2">
        <v>10939.4</v>
      </c>
      <c r="I321" s="2">
        <v>9358.7999999999993</v>
      </c>
      <c r="J321" s="2">
        <v>1614.9</v>
      </c>
      <c r="L321"/>
      <c r="M321"/>
    </row>
    <row r="322" spans="1:13" x14ac:dyDescent="0.45">
      <c r="A322" s="2" t="s">
        <v>555</v>
      </c>
      <c r="B322" s="2" t="s">
        <v>7</v>
      </c>
      <c r="C322" s="2" t="s">
        <v>556</v>
      </c>
      <c r="D322" s="2" t="s">
        <v>3</v>
      </c>
      <c r="E322" s="2" t="s">
        <v>9</v>
      </c>
      <c r="F322" s="2" t="s">
        <v>5</v>
      </c>
      <c r="G322" s="2">
        <v>2006</v>
      </c>
      <c r="H322" s="2">
        <v>7335.2</v>
      </c>
      <c r="I322" s="2">
        <v>6735.6</v>
      </c>
      <c r="J322" s="2">
        <v>602</v>
      </c>
      <c r="L322"/>
      <c r="M322"/>
    </row>
    <row r="323" spans="1:13" x14ac:dyDescent="0.45">
      <c r="A323" s="2" t="s">
        <v>563</v>
      </c>
      <c r="B323" s="2" t="s">
        <v>1</v>
      </c>
      <c r="C323" s="2" t="s">
        <v>8</v>
      </c>
      <c r="D323" s="2" t="s">
        <v>3</v>
      </c>
      <c r="E323" s="2" t="s">
        <v>4</v>
      </c>
      <c r="F323" s="2" t="s">
        <v>5</v>
      </c>
      <c r="G323" s="2">
        <v>2012</v>
      </c>
      <c r="H323" s="2">
        <v>7252.1</v>
      </c>
      <c r="I323" s="2">
        <v>4583.7</v>
      </c>
      <c r="J323" s="2">
        <v>2668.4</v>
      </c>
      <c r="L323"/>
      <c r="M323"/>
    </row>
    <row r="324" spans="1:13" x14ac:dyDescent="0.45">
      <c r="A324" s="2" t="s">
        <v>269</v>
      </c>
      <c r="B324" s="2" t="s">
        <v>1</v>
      </c>
      <c r="C324" s="2" t="s">
        <v>8</v>
      </c>
      <c r="D324" s="2" t="s">
        <v>11</v>
      </c>
      <c r="E324" s="2" t="s">
        <v>12</v>
      </c>
      <c r="F324" s="2" t="s">
        <v>5</v>
      </c>
      <c r="G324" s="2">
        <v>2017</v>
      </c>
      <c r="H324" s="2">
        <v>13291</v>
      </c>
      <c r="I324" s="2">
        <v>10113.700000000001</v>
      </c>
      <c r="J324" s="2">
        <v>3183.3</v>
      </c>
      <c r="L324"/>
      <c r="M324"/>
    </row>
    <row r="325" spans="1:13" x14ac:dyDescent="0.45">
      <c r="A325" s="2" t="s">
        <v>566</v>
      </c>
      <c r="B325" s="2" t="s">
        <v>1</v>
      </c>
      <c r="C325" s="2" t="s">
        <v>229</v>
      </c>
      <c r="D325" s="2" t="s">
        <v>11</v>
      </c>
      <c r="E325" s="2" t="s">
        <v>4</v>
      </c>
      <c r="F325" s="2" t="s">
        <v>5</v>
      </c>
      <c r="G325" s="2">
        <v>2018</v>
      </c>
      <c r="H325" s="2">
        <v>7209.6</v>
      </c>
      <c r="I325" s="2">
        <v>3303.8</v>
      </c>
      <c r="J325" s="2">
        <v>3905.7</v>
      </c>
      <c r="L325"/>
      <c r="M325"/>
    </row>
    <row r="326" spans="1:13" x14ac:dyDescent="0.45">
      <c r="A326" s="2" t="s">
        <v>240</v>
      </c>
      <c r="B326" s="2" t="s">
        <v>1</v>
      </c>
      <c r="C326" s="2" t="s">
        <v>29</v>
      </c>
      <c r="D326" s="2" t="s">
        <v>11</v>
      </c>
      <c r="E326" s="2" t="s">
        <v>69</v>
      </c>
      <c r="F326" s="2" t="s">
        <v>35</v>
      </c>
      <c r="G326" s="2">
        <v>2015</v>
      </c>
      <c r="H326" s="2">
        <v>14293.7</v>
      </c>
      <c r="I326" s="2">
        <v>11695.5</v>
      </c>
      <c r="J326" s="2">
        <v>2609</v>
      </c>
      <c r="L326"/>
      <c r="M326"/>
    </row>
    <row r="327" spans="1:13" x14ac:dyDescent="0.45">
      <c r="A327" s="2" t="s">
        <v>84</v>
      </c>
      <c r="B327" s="2" t="s">
        <v>1</v>
      </c>
      <c r="C327" s="2" t="s">
        <v>8</v>
      </c>
      <c r="D327" s="2" t="s">
        <v>3</v>
      </c>
      <c r="E327" s="2" t="s">
        <v>85</v>
      </c>
      <c r="F327" s="2" t="s">
        <v>5</v>
      </c>
      <c r="G327" s="2">
        <v>2014</v>
      </c>
      <c r="H327" s="2">
        <v>31171.1</v>
      </c>
      <c r="I327" s="2">
        <v>26589.9</v>
      </c>
      <c r="J327" s="2">
        <v>4600.3999999999996</v>
      </c>
      <c r="L327"/>
      <c r="M327"/>
    </row>
    <row r="328" spans="1:13" x14ac:dyDescent="0.45">
      <c r="A328" s="2" t="s">
        <v>523</v>
      </c>
      <c r="B328" s="2" t="s">
        <v>1</v>
      </c>
      <c r="C328" s="2" t="s">
        <v>20</v>
      </c>
      <c r="D328" s="2" t="s">
        <v>3</v>
      </c>
      <c r="E328" s="2" t="s">
        <v>38</v>
      </c>
      <c r="F328" s="2" t="s">
        <v>35</v>
      </c>
      <c r="G328" s="2">
        <v>2009</v>
      </c>
      <c r="H328" s="2">
        <v>7713.9</v>
      </c>
      <c r="I328" s="2">
        <v>7713.9</v>
      </c>
      <c r="J328" s="2">
        <v>0</v>
      </c>
      <c r="L328"/>
      <c r="M328"/>
    </row>
    <row r="329" spans="1:13" x14ac:dyDescent="0.45">
      <c r="A329" s="2" t="s">
        <v>418</v>
      </c>
      <c r="B329" s="2" t="s">
        <v>1</v>
      </c>
      <c r="C329" s="2" t="s">
        <v>20</v>
      </c>
      <c r="D329" s="2" t="s">
        <v>3</v>
      </c>
      <c r="E329" s="2" t="s">
        <v>38</v>
      </c>
      <c r="F329" s="2" t="s">
        <v>35</v>
      </c>
      <c r="G329" s="2">
        <v>1999</v>
      </c>
      <c r="H329" s="2">
        <v>9212.4</v>
      </c>
      <c r="I329" s="2">
        <v>7752.7</v>
      </c>
      <c r="J329" s="2">
        <v>1460.8</v>
      </c>
      <c r="L329"/>
      <c r="M329"/>
    </row>
    <row r="330" spans="1:13" x14ac:dyDescent="0.45">
      <c r="A330" s="2" t="s">
        <v>375</v>
      </c>
      <c r="B330" s="2" t="s">
        <v>1</v>
      </c>
      <c r="C330" s="2" t="s">
        <v>8</v>
      </c>
      <c r="D330" s="2" t="s">
        <v>3</v>
      </c>
      <c r="E330" s="2" t="s">
        <v>38</v>
      </c>
      <c r="F330" s="2" t="s">
        <v>35</v>
      </c>
      <c r="G330" s="2">
        <v>2002</v>
      </c>
      <c r="H330" s="2">
        <v>10180.200000000001</v>
      </c>
      <c r="I330" s="2">
        <v>10185.799999999999</v>
      </c>
      <c r="J330" s="2">
        <v>0</v>
      </c>
      <c r="L330"/>
      <c r="M330"/>
    </row>
    <row r="331" spans="1:13" x14ac:dyDescent="0.45">
      <c r="A331" s="2" t="s">
        <v>73</v>
      </c>
      <c r="B331" s="2" t="s">
        <v>1</v>
      </c>
      <c r="C331" s="2" t="s">
        <v>8</v>
      </c>
      <c r="D331" s="2" t="s">
        <v>11</v>
      </c>
      <c r="E331" s="2" t="s">
        <v>12</v>
      </c>
      <c r="F331" s="2" t="s">
        <v>5</v>
      </c>
      <c r="G331" s="2">
        <v>2016</v>
      </c>
      <c r="H331" s="2">
        <v>33620.699999999997</v>
      </c>
      <c r="I331" s="2">
        <v>14022.5</v>
      </c>
      <c r="J331" s="2">
        <v>19614.7</v>
      </c>
      <c r="L331"/>
      <c r="M331"/>
    </row>
    <row r="332" spans="1:13" x14ac:dyDescent="0.45">
      <c r="A332" s="2" t="s">
        <v>140</v>
      </c>
      <c r="B332" s="2" t="s">
        <v>1</v>
      </c>
      <c r="C332" s="2" t="s">
        <v>76</v>
      </c>
      <c r="D332" s="2" t="s">
        <v>11</v>
      </c>
      <c r="E332" s="2" t="s">
        <v>77</v>
      </c>
      <c r="F332" s="2" t="s">
        <v>5</v>
      </c>
      <c r="G332" s="2">
        <v>2018</v>
      </c>
      <c r="H332" s="2">
        <v>20300.7</v>
      </c>
      <c r="I332" s="2">
        <v>13993.4</v>
      </c>
      <c r="J332" s="2">
        <v>6316.3</v>
      </c>
      <c r="L332"/>
      <c r="M332"/>
    </row>
    <row r="333" spans="1:13" x14ac:dyDescent="0.45">
      <c r="A333" s="2" t="s">
        <v>481</v>
      </c>
      <c r="B333" s="2" t="s">
        <v>1</v>
      </c>
      <c r="C333" s="2" t="s">
        <v>8</v>
      </c>
      <c r="D333" s="2" t="s">
        <v>3</v>
      </c>
      <c r="E333" s="2" t="s">
        <v>4</v>
      </c>
      <c r="F333" s="2" t="s">
        <v>5</v>
      </c>
      <c r="G333" s="2">
        <v>1992</v>
      </c>
      <c r="H333" s="2">
        <v>8235.9</v>
      </c>
      <c r="I333" s="2">
        <v>1236.7</v>
      </c>
      <c r="J333" s="2">
        <v>6999.2</v>
      </c>
      <c r="L333"/>
      <c r="M333"/>
    </row>
    <row r="334" spans="1:13" x14ac:dyDescent="0.45">
      <c r="A334" s="2" t="s">
        <v>430</v>
      </c>
      <c r="B334" s="2" t="s">
        <v>7</v>
      </c>
      <c r="C334" s="2" t="s">
        <v>427</v>
      </c>
      <c r="D334" s="2" t="s">
        <v>11</v>
      </c>
      <c r="E334" s="2" t="s">
        <v>12</v>
      </c>
      <c r="F334" s="2" t="s">
        <v>5</v>
      </c>
      <c r="G334" s="2">
        <v>2010</v>
      </c>
      <c r="H334" s="2">
        <v>8960.1</v>
      </c>
      <c r="I334" s="2">
        <v>3564</v>
      </c>
      <c r="J334" s="2">
        <v>5398.2</v>
      </c>
      <c r="L334"/>
      <c r="M334"/>
    </row>
    <row r="335" spans="1:13" x14ac:dyDescent="0.45">
      <c r="A335" s="2" t="s">
        <v>455</v>
      </c>
      <c r="B335" s="2" t="s">
        <v>1</v>
      </c>
      <c r="C335" s="2" t="s">
        <v>2</v>
      </c>
      <c r="D335" s="2" t="s">
        <v>3</v>
      </c>
      <c r="E335" s="2" t="s">
        <v>4</v>
      </c>
      <c r="F335" s="2" t="s">
        <v>5</v>
      </c>
      <c r="G335" s="2">
        <v>2017</v>
      </c>
      <c r="H335" s="2">
        <v>8564.4</v>
      </c>
      <c r="I335" s="2">
        <v>5619.6</v>
      </c>
      <c r="J335" s="2">
        <v>2944.9</v>
      </c>
      <c r="L335"/>
      <c r="M335"/>
    </row>
    <row r="336" spans="1:13" x14ac:dyDescent="0.45">
      <c r="A336" s="2" t="s">
        <v>522</v>
      </c>
      <c r="B336" s="2" t="s">
        <v>1</v>
      </c>
      <c r="C336" s="2" t="s">
        <v>8</v>
      </c>
      <c r="D336" s="2" t="s">
        <v>3</v>
      </c>
      <c r="E336" s="2" t="s">
        <v>4</v>
      </c>
      <c r="F336" s="2" t="s">
        <v>5</v>
      </c>
      <c r="G336" s="2">
        <v>2000</v>
      </c>
      <c r="H336" s="2">
        <v>7729.6</v>
      </c>
      <c r="I336" s="2">
        <v>6445.6</v>
      </c>
      <c r="J336" s="2">
        <v>1287.7</v>
      </c>
      <c r="L336"/>
      <c r="M336"/>
    </row>
    <row r="337" spans="1:13" x14ac:dyDescent="0.45">
      <c r="A337" s="2" t="s">
        <v>528</v>
      </c>
      <c r="B337" s="2" t="s">
        <v>7</v>
      </c>
      <c r="C337" s="2" t="s">
        <v>2</v>
      </c>
      <c r="D337" s="2" t="s">
        <v>3</v>
      </c>
      <c r="E337" s="2" t="s">
        <v>9</v>
      </c>
      <c r="F337" s="2" t="s">
        <v>5</v>
      </c>
      <c r="G337" s="2">
        <v>2000</v>
      </c>
      <c r="H337" s="2">
        <v>7628.1</v>
      </c>
      <c r="I337" s="2">
        <v>6657.6</v>
      </c>
      <c r="J337" s="2">
        <v>974.8</v>
      </c>
      <c r="L337"/>
      <c r="M337"/>
    </row>
    <row r="338" spans="1:13" x14ac:dyDescent="0.45">
      <c r="A338" s="2" t="s">
        <v>290</v>
      </c>
      <c r="B338" s="2" t="s">
        <v>1</v>
      </c>
      <c r="C338" s="2" t="s">
        <v>8</v>
      </c>
      <c r="D338" s="2" t="s">
        <v>11</v>
      </c>
      <c r="E338" s="2" t="s">
        <v>12</v>
      </c>
      <c r="F338" s="2" t="s">
        <v>5</v>
      </c>
      <c r="G338" s="2">
        <v>2004</v>
      </c>
      <c r="H338" s="2">
        <v>12713.2</v>
      </c>
      <c r="I338" s="2">
        <v>12596.1</v>
      </c>
      <c r="J338" s="2">
        <v>124.8</v>
      </c>
      <c r="L338"/>
      <c r="M338"/>
    </row>
    <row r="339" spans="1:13" x14ac:dyDescent="0.45">
      <c r="A339" s="2" t="s">
        <v>399</v>
      </c>
      <c r="B339" s="2" t="s">
        <v>1</v>
      </c>
      <c r="C339" s="2" t="s">
        <v>76</v>
      </c>
      <c r="D339" s="2" t="s">
        <v>11</v>
      </c>
      <c r="E339" s="2" t="s">
        <v>69</v>
      </c>
      <c r="F339" s="2" t="s">
        <v>5</v>
      </c>
      <c r="G339" s="2">
        <v>2023</v>
      </c>
      <c r="H339" s="2">
        <v>9854</v>
      </c>
      <c r="I339" s="2">
        <v>8668.1</v>
      </c>
      <c r="J339" s="2">
        <v>1197.3</v>
      </c>
      <c r="L339"/>
      <c r="M339"/>
    </row>
    <row r="340" spans="1:13" x14ac:dyDescent="0.45">
      <c r="A340" s="2" t="s">
        <v>509</v>
      </c>
      <c r="B340" s="2" t="s">
        <v>7</v>
      </c>
      <c r="C340" s="2" t="s">
        <v>32</v>
      </c>
      <c r="D340" s="2" t="s">
        <v>33</v>
      </c>
      <c r="E340" s="2" t="s">
        <v>34</v>
      </c>
      <c r="F340" s="2" t="s">
        <v>35</v>
      </c>
      <c r="G340" s="2">
        <v>2022</v>
      </c>
      <c r="H340" s="2">
        <v>7886.9</v>
      </c>
      <c r="I340" s="2">
        <v>7880.6</v>
      </c>
      <c r="J340" s="2">
        <v>5.3</v>
      </c>
      <c r="L340"/>
      <c r="M340"/>
    </row>
    <row r="341" spans="1:13" x14ac:dyDescent="0.45">
      <c r="A341" s="2" t="s">
        <v>226</v>
      </c>
      <c r="B341" s="2" t="s">
        <v>1</v>
      </c>
      <c r="C341" s="2" t="s">
        <v>8</v>
      </c>
      <c r="D341" s="2" t="s">
        <v>3</v>
      </c>
      <c r="E341" s="2" t="s">
        <v>14</v>
      </c>
      <c r="F341" s="2" t="s">
        <v>5</v>
      </c>
      <c r="G341" s="2">
        <v>2006</v>
      </c>
      <c r="H341" s="2">
        <v>14888.6</v>
      </c>
      <c r="I341" s="2">
        <v>8808.5</v>
      </c>
      <c r="J341" s="2">
        <v>6090.2</v>
      </c>
      <c r="L341"/>
      <c r="M341"/>
    </row>
    <row r="342" spans="1:13" x14ac:dyDescent="0.45">
      <c r="A342" s="2" t="s">
        <v>252</v>
      </c>
      <c r="B342" s="2" t="s">
        <v>1</v>
      </c>
      <c r="C342" s="2" t="s">
        <v>8</v>
      </c>
      <c r="D342" s="2" t="s">
        <v>3</v>
      </c>
      <c r="E342" s="2" t="s">
        <v>4</v>
      </c>
      <c r="F342" s="2" t="s">
        <v>5</v>
      </c>
      <c r="G342" s="2">
        <v>2010</v>
      </c>
      <c r="H342" s="2">
        <v>13891.9</v>
      </c>
      <c r="I342" s="2">
        <v>9309.2000000000007</v>
      </c>
      <c r="J342" s="2">
        <v>4586.6000000000004</v>
      </c>
      <c r="L342"/>
      <c r="M342"/>
    </row>
    <row r="343" spans="1:13" x14ac:dyDescent="0.45">
      <c r="A343" s="2" t="s">
        <v>479</v>
      </c>
      <c r="B343" s="2" t="s">
        <v>1</v>
      </c>
      <c r="C343" s="2" t="s">
        <v>191</v>
      </c>
      <c r="D343" s="2" t="s">
        <v>3</v>
      </c>
      <c r="E343" s="2" t="s">
        <v>9</v>
      </c>
      <c r="F343" s="2" t="s">
        <v>5</v>
      </c>
      <c r="G343" s="2">
        <v>2010</v>
      </c>
      <c r="H343" s="2">
        <v>8263</v>
      </c>
      <c r="I343" s="2">
        <v>3585.1</v>
      </c>
      <c r="J343" s="2">
        <v>4693.6000000000004</v>
      </c>
      <c r="L343"/>
      <c r="M343"/>
    </row>
    <row r="344" spans="1:13" x14ac:dyDescent="0.45">
      <c r="A344" s="2" t="s">
        <v>389</v>
      </c>
      <c r="B344" s="2" t="s">
        <v>1</v>
      </c>
      <c r="C344" s="2" t="s">
        <v>2</v>
      </c>
      <c r="D344" s="2" t="s">
        <v>3</v>
      </c>
      <c r="E344" s="2" t="s">
        <v>38</v>
      </c>
      <c r="F344" s="2" t="s">
        <v>35</v>
      </c>
      <c r="G344" s="2">
        <v>1996</v>
      </c>
      <c r="H344" s="2">
        <v>9933.4</v>
      </c>
      <c r="I344" s="2">
        <v>9932.9</v>
      </c>
      <c r="J344" s="2">
        <v>6.1</v>
      </c>
      <c r="L344"/>
      <c r="M344"/>
    </row>
    <row r="345" spans="1:13" x14ac:dyDescent="0.45">
      <c r="A345" s="2" t="s">
        <v>41</v>
      </c>
      <c r="B345" s="2" t="s">
        <v>7</v>
      </c>
      <c r="C345" s="2" t="s">
        <v>42</v>
      </c>
      <c r="D345" s="2" t="s">
        <v>3</v>
      </c>
      <c r="E345" s="2" t="s">
        <v>4</v>
      </c>
      <c r="F345" s="2" t="s">
        <v>5</v>
      </c>
      <c r="G345" s="2">
        <v>2007</v>
      </c>
      <c r="H345" s="2">
        <v>43330.3</v>
      </c>
      <c r="I345" s="2">
        <v>16316.4</v>
      </c>
      <c r="J345" s="2">
        <v>27027.9</v>
      </c>
      <c r="L345"/>
      <c r="M345"/>
    </row>
    <row r="346" spans="1:13" x14ac:dyDescent="0.45">
      <c r="A346" s="2" t="s">
        <v>562</v>
      </c>
      <c r="B346" s="2" t="s">
        <v>7</v>
      </c>
      <c r="C346" s="2" t="s">
        <v>209</v>
      </c>
      <c r="D346" s="2" t="s">
        <v>11</v>
      </c>
      <c r="E346" s="2" t="s">
        <v>69</v>
      </c>
      <c r="F346" s="2" t="s">
        <v>5</v>
      </c>
      <c r="G346" s="2">
        <v>2019</v>
      </c>
      <c r="H346" s="2">
        <v>7256.2</v>
      </c>
      <c r="I346" s="2">
        <v>2470.4</v>
      </c>
      <c r="J346" s="2">
        <v>4785.8</v>
      </c>
      <c r="L346"/>
      <c r="M346"/>
    </row>
    <row r="347" spans="1:13" x14ac:dyDescent="0.45">
      <c r="A347" s="2" t="s">
        <v>107</v>
      </c>
      <c r="B347" s="2" t="s">
        <v>1</v>
      </c>
      <c r="C347" s="2" t="s">
        <v>8</v>
      </c>
      <c r="D347" s="2" t="s">
        <v>11</v>
      </c>
      <c r="E347" s="2" t="s">
        <v>12</v>
      </c>
      <c r="F347" s="2" t="s">
        <v>5</v>
      </c>
      <c r="G347" s="2">
        <v>1995</v>
      </c>
      <c r="H347" s="2">
        <v>25875.4</v>
      </c>
      <c r="I347" s="2">
        <v>11175.4</v>
      </c>
      <c r="J347" s="2">
        <v>14672</v>
      </c>
      <c r="L347"/>
      <c r="M347"/>
    </row>
    <row r="348" spans="1:13" x14ac:dyDescent="0.45">
      <c r="A348" s="2" t="s">
        <v>327</v>
      </c>
      <c r="B348" s="2" t="s">
        <v>1</v>
      </c>
      <c r="C348" s="2" t="s">
        <v>46</v>
      </c>
      <c r="D348" s="2" t="s">
        <v>244</v>
      </c>
      <c r="E348" s="2" t="s">
        <v>4</v>
      </c>
      <c r="F348" s="2" t="s">
        <v>5</v>
      </c>
      <c r="G348" s="2">
        <v>2017</v>
      </c>
      <c r="H348" s="2">
        <v>11459.5</v>
      </c>
      <c r="I348" s="2">
        <v>7069.7</v>
      </c>
      <c r="J348" s="2">
        <v>4399.6000000000004</v>
      </c>
      <c r="L348"/>
      <c r="M348"/>
    </row>
    <row r="349" spans="1:13" x14ac:dyDescent="0.45">
      <c r="A349" s="2" t="s">
        <v>197</v>
      </c>
      <c r="B349" s="2" t="s">
        <v>1</v>
      </c>
      <c r="C349" s="2" t="s">
        <v>8</v>
      </c>
      <c r="D349" s="2" t="s">
        <v>3</v>
      </c>
      <c r="E349" s="2" t="s">
        <v>38</v>
      </c>
      <c r="F349" s="2" t="s">
        <v>35</v>
      </c>
      <c r="G349" s="2">
        <v>1989</v>
      </c>
      <c r="H349" s="2">
        <v>16228.7</v>
      </c>
      <c r="I349" s="2">
        <v>16236</v>
      </c>
      <c r="J349" s="2">
        <v>0</v>
      </c>
      <c r="L349"/>
      <c r="M349"/>
    </row>
    <row r="350" spans="1:13" x14ac:dyDescent="0.45">
      <c r="A350" s="2" t="s">
        <v>463</v>
      </c>
      <c r="B350" s="2" t="s">
        <v>1</v>
      </c>
      <c r="C350" s="2" t="s">
        <v>8</v>
      </c>
      <c r="D350" s="2" t="s">
        <v>3</v>
      </c>
      <c r="E350" s="2" t="s">
        <v>4</v>
      </c>
      <c r="F350" s="2" t="s">
        <v>5</v>
      </c>
      <c r="G350" s="2">
        <v>2018</v>
      </c>
      <c r="H350" s="2">
        <v>8453.7000000000007</v>
      </c>
      <c r="I350" s="2">
        <v>6568.5</v>
      </c>
      <c r="J350" s="2">
        <v>1885.2</v>
      </c>
      <c r="L350"/>
      <c r="M350"/>
    </row>
    <row r="351" spans="1:13" x14ac:dyDescent="0.45">
      <c r="A351" s="2" t="s">
        <v>258</v>
      </c>
      <c r="B351" s="2" t="s">
        <v>1</v>
      </c>
      <c r="C351" s="2" t="s">
        <v>8</v>
      </c>
      <c r="D351" s="2" t="s">
        <v>3</v>
      </c>
      <c r="E351" s="2" t="s">
        <v>259</v>
      </c>
      <c r="F351" s="2" t="s">
        <v>5</v>
      </c>
      <c r="G351" s="2">
        <v>2017</v>
      </c>
      <c r="H351" s="2">
        <v>13543.1</v>
      </c>
      <c r="I351" s="2">
        <v>12815.1</v>
      </c>
      <c r="J351" s="2">
        <v>728</v>
      </c>
      <c r="L351"/>
      <c r="M351"/>
    </row>
    <row r="352" spans="1:13" x14ac:dyDescent="0.45">
      <c r="A352" s="2" t="s">
        <v>482</v>
      </c>
      <c r="B352" s="2" t="s">
        <v>1</v>
      </c>
      <c r="C352" s="2" t="s">
        <v>8</v>
      </c>
      <c r="D352" s="2" t="s">
        <v>11</v>
      </c>
      <c r="E352" s="2" t="s">
        <v>12</v>
      </c>
      <c r="F352" s="2" t="s">
        <v>5</v>
      </c>
      <c r="G352" s="2">
        <v>2014</v>
      </c>
      <c r="H352" s="2">
        <v>8216.5</v>
      </c>
      <c r="I352" s="2">
        <v>760.9</v>
      </c>
      <c r="J352" s="2">
        <v>7455.6</v>
      </c>
      <c r="L352"/>
      <c r="M352"/>
    </row>
    <row r="353" spans="1:13" x14ac:dyDescent="0.45">
      <c r="A353" s="2" t="s">
        <v>337</v>
      </c>
      <c r="B353" s="2" t="s">
        <v>1</v>
      </c>
      <c r="C353" s="2" t="s">
        <v>20</v>
      </c>
      <c r="D353" s="2" t="s">
        <v>3</v>
      </c>
      <c r="E353" s="2" t="s">
        <v>38</v>
      </c>
      <c r="F353" s="2" t="s">
        <v>35</v>
      </c>
      <c r="G353" s="2">
        <v>1994</v>
      </c>
      <c r="H353" s="2">
        <v>11063.6</v>
      </c>
      <c r="I353" s="2">
        <v>11073.6</v>
      </c>
      <c r="J353" s="2">
        <v>0</v>
      </c>
      <c r="L353"/>
      <c r="M353"/>
    </row>
    <row r="354" spans="1:13" x14ac:dyDescent="0.45">
      <c r="A354" s="2" t="s">
        <v>236</v>
      </c>
      <c r="B354" s="2" t="s">
        <v>1</v>
      </c>
      <c r="C354" s="2" t="s">
        <v>8</v>
      </c>
      <c r="D354" s="2" t="s">
        <v>3</v>
      </c>
      <c r="E354" s="2" t="s">
        <v>4</v>
      </c>
      <c r="F354" s="2" t="s">
        <v>5</v>
      </c>
      <c r="G354" s="2">
        <v>2015</v>
      </c>
      <c r="H354" s="2">
        <v>14402.6</v>
      </c>
      <c r="I354" s="2">
        <v>13416.1</v>
      </c>
      <c r="J354" s="2">
        <v>990</v>
      </c>
      <c r="L354"/>
      <c r="M354"/>
    </row>
    <row r="355" spans="1:13" x14ac:dyDescent="0.45">
      <c r="A355" s="2" t="s">
        <v>507</v>
      </c>
      <c r="B355" s="2" t="s">
        <v>7</v>
      </c>
      <c r="C355" s="2" t="s">
        <v>20</v>
      </c>
      <c r="D355" s="2" t="s">
        <v>3</v>
      </c>
      <c r="E355" s="2" t="s">
        <v>442</v>
      </c>
      <c r="F355" s="2" t="s">
        <v>5</v>
      </c>
      <c r="G355" s="2">
        <v>2018</v>
      </c>
      <c r="H355" s="2">
        <v>7892.9</v>
      </c>
      <c r="I355" s="2">
        <v>7895.6</v>
      </c>
      <c r="J355" s="2">
        <v>0</v>
      </c>
      <c r="L355"/>
      <c r="M355"/>
    </row>
    <row r="356" spans="1:13" x14ac:dyDescent="0.45">
      <c r="A356" s="2" t="s">
        <v>94</v>
      </c>
      <c r="B356" s="2" t="s">
        <v>7</v>
      </c>
      <c r="C356" s="2" t="s">
        <v>8</v>
      </c>
      <c r="D356" s="2" t="s">
        <v>3</v>
      </c>
      <c r="E356" s="2" t="s">
        <v>9</v>
      </c>
      <c r="F356" s="2" t="s">
        <v>5</v>
      </c>
      <c r="G356" s="2">
        <v>2021</v>
      </c>
      <c r="H356" s="2">
        <v>28799.7</v>
      </c>
      <c r="I356" s="2">
        <v>28797.599999999999</v>
      </c>
      <c r="J356" s="2">
        <v>2.2000000000000002</v>
      </c>
      <c r="L356"/>
      <c r="M356"/>
    </row>
    <row r="357" spans="1:13" x14ac:dyDescent="0.45">
      <c r="A357" s="2" t="s">
        <v>581</v>
      </c>
      <c r="B357" s="2" t="s">
        <v>1</v>
      </c>
      <c r="C357" s="2" t="s">
        <v>8</v>
      </c>
      <c r="D357" s="2" t="s">
        <v>11</v>
      </c>
      <c r="E357" s="2" t="s">
        <v>12</v>
      </c>
      <c r="F357" s="2" t="s">
        <v>5</v>
      </c>
      <c r="G357" s="2">
        <v>2017</v>
      </c>
      <c r="H357" s="2">
        <v>6972</v>
      </c>
      <c r="I357" s="2">
        <v>6956</v>
      </c>
      <c r="J357" s="2">
        <v>20.3</v>
      </c>
      <c r="L357"/>
      <c r="M357"/>
    </row>
    <row r="358" spans="1:13" x14ac:dyDescent="0.45">
      <c r="A358" s="2" t="s">
        <v>92</v>
      </c>
      <c r="B358" s="2" t="s">
        <v>65</v>
      </c>
      <c r="C358" s="2" t="s">
        <v>20</v>
      </c>
      <c r="D358" s="2" t="s">
        <v>3</v>
      </c>
      <c r="E358" s="2" t="s">
        <v>9</v>
      </c>
      <c r="F358" s="2" t="s">
        <v>35</v>
      </c>
      <c r="G358" s="2">
        <v>2011</v>
      </c>
      <c r="H358" s="2">
        <v>28889.5</v>
      </c>
      <c r="I358" s="2">
        <v>28898.2</v>
      </c>
      <c r="J358" s="2">
        <v>0</v>
      </c>
      <c r="L358"/>
      <c r="M358"/>
    </row>
    <row r="359" spans="1:13" x14ac:dyDescent="0.45">
      <c r="A359" s="2" t="s">
        <v>132</v>
      </c>
      <c r="B359" s="2" t="s">
        <v>65</v>
      </c>
      <c r="C359" s="2" t="s">
        <v>8</v>
      </c>
      <c r="D359" s="2" t="s">
        <v>3</v>
      </c>
      <c r="E359" s="2" t="s">
        <v>9</v>
      </c>
      <c r="F359" s="2" t="s">
        <v>35</v>
      </c>
      <c r="G359" s="2">
        <v>2007</v>
      </c>
      <c r="H359" s="2">
        <v>21182.2</v>
      </c>
      <c r="I359" s="2">
        <v>19519.400000000001</v>
      </c>
      <c r="J359" s="2">
        <v>1669.7</v>
      </c>
      <c r="L359"/>
      <c r="M359"/>
    </row>
    <row r="360" spans="1:13" x14ac:dyDescent="0.45">
      <c r="A360" s="2" t="s">
        <v>404</v>
      </c>
      <c r="B360" s="2" t="s">
        <v>1</v>
      </c>
      <c r="C360" s="2" t="s">
        <v>76</v>
      </c>
      <c r="D360" s="2" t="s">
        <v>11</v>
      </c>
      <c r="E360" s="2" t="s">
        <v>69</v>
      </c>
      <c r="F360" s="2" t="s">
        <v>5</v>
      </c>
      <c r="G360" s="2">
        <v>2020</v>
      </c>
      <c r="H360" s="2">
        <v>9609</v>
      </c>
      <c r="I360" s="2">
        <v>5573.7</v>
      </c>
      <c r="J360" s="2">
        <v>4061</v>
      </c>
      <c r="L360"/>
      <c r="M360"/>
    </row>
    <row r="361" spans="1:13" x14ac:dyDescent="0.45">
      <c r="A361" s="2" t="s">
        <v>506</v>
      </c>
      <c r="B361" s="2" t="s">
        <v>1</v>
      </c>
      <c r="C361" s="2" t="s">
        <v>29</v>
      </c>
      <c r="D361" s="2" t="s">
        <v>11</v>
      </c>
      <c r="E361" s="2" t="s">
        <v>12</v>
      </c>
      <c r="F361" s="2" t="s">
        <v>5</v>
      </c>
      <c r="G361" s="2">
        <v>2016</v>
      </c>
      <c r="H361" s="2">
        <v>7921.6</v>
      </c>
      <c r="I361" s="2">
        <v>7400.3</v>
      </c>
      <c r="J361" s="2">
        <v>508.4</v>
      </c>
      <c r="L361"/>
      <c r="M361"/>
    </row>
    <row r="362" spans="1:13" x14ac:dyDescent="0.45">
      <c r="A362" s="2" t="s">
        <v>36</v>
      </c>
      <c r="B362" s="2" t="s">
        <v>1</v>
      </c>
      <c r="C362" s="2" t="s">
        <v>8</v>
      </c>
      <c r="D362" s="2" t="s">
        <v>11</v>
      </c>
      <c r="E362" s="2" t="s">
        <v>12</v>
      </c>
      <c r="F362" s="2" t="s">
        <v>5</v>
      </c>
      <c r="G362" s="2">
        <v>2012</v>
      </c>
      <c r="H362" s="2">
        <v>47649.2</v>
      </c>
      <c r="I362" s="2">
        <v>20247.099999999999</v>
      </c>
      <c r="J362" s="2">
        <v>27418.9</v>
      </c>
      <c r="L362"/>
      <c r="M362"/>
    </row>
    <row r="363" spans="1:13" x14ac:dyDescent="0.45">
      <c r="A363" s="2" t="s">
        <v>196</v>
      </c>
      <c r="B363" s="2" t="s">
        <v>7</v>
      </c>
      <c r="C363" s="2" t="s">
        <v>8</v>
      </c>
      <c r="D363" s="2" t="s">
        <v>3</v>
      </c>
      <c r="E363" s="2" t="s">
        <v>9</v>
      </c>
      <c r="F363" s="2" t="s">
        <v>5</v>
      </c>
      <c r="G363" s="2">
        <v>2000</v>
      </c>
      <c r="H363" s="2">
        <v>16271.6</v>
      </c>
      <c r="I363" s="2">
        <v>7125.4</v>
      </c>
      <c r="J363" s="2">
        <v>9125</v>
      </c>
      <c r="L363"/>
      <c r="M363"/>
    </row>
    <row r="364" spans="1:13" x14ac:dyDescent="0.45">
      <c r="A364" s="2" t="s">
        <v>237</v>
      </c>
      <c r="B364" s="2" t="s">
        <v>1</v>
      </c>
      <c r="C364" s="2" t="s">
        <v>8</v>
      </c>
      <c r="D364" s="2" t="s">
        <v>3</v>
      </c>
      <c r="E364" s="2" t="s">
        <v>38</v>
      </c>
      <c r="F364" s="2" t="s">
        <v>35</v>
      </c>
      <c r="G364" s="2">
        <v>2005</v>
      </c>
      <c r="H364" s="2">
        <v>14402.3</v>
      </c>
      <c r="I364" s="2">
        <v>4417.2</v>
      </c>
      <c r="J364" s="2">
        <v>9988.5</v>
      </c>
      <c r="L364"/>
      <c r="M364"/>
    </row>
    <row r="365" spans="1:13" x14ac:dyDescent="0.45">
      <c r="A365" s="2" t="s">
        <v>325</v>
      </c>
      <c r="B365" s="2" t="s">
        <v>65</v>
      </c>
      <c r="C365" s="2" t="s">
        <v>8</v>
      </c>
      <c r="D365" s="2" t="s">
        <v>3</v>
      </c>
      <c r="E365" s="2" t="s">
        <v>38</v>
      </c>
      <c r="F365" s="2" t="s">
        <v>35</v>
      </c>
      <c r="G365" s="2">
        <v>2005</v>
      </c>
      <c r="H365" s="2">
        <v>11480.4</v>
      </c>
      <c r="I365" s="2">
        <v>8241.1</v>
      </c>
      <c r="J365" s="2">
        <v>3243.6</v>
      </c>
      <c r="L365"/>
      <c r="M365"/>
    </row>
    <row r="366" spans="1:13" x14ac:dyDescent="0.45">
      <c r="A366" s="2" t="s">
        <v>234</v>
      </c>
      <c r="B366" s="2" t="s">
        <v>1</v>
      </c>
      <c r="C366" s="2" t="s">
        <v>2</v>
      </c>
      <c r="D366" s="2" t="s">
        <v>3</v>
      </c>
      <c r="E366" s="2" t="s">
        <v>14</v>
      </c>
      <c r="F366" s="2" t="s">
        <v>5</v>
      </c>
      <c r="G366" s="2">
        <v>2013</v>
      </c>
      <c r="H366" s="2">
        <v>14506.3</v>
      </c>
      <c r="I366" s="2">
        <v>13237.2</v>
      </c>
      <c r="J366" s="2">
        <v>1275</v>
      </c>
      <c r="L366"/>
      <c r="M366"/>
    </row>
    <row r="367" spans="1:13" x14ac:dyDescent="0.45">
      <c r="A367" s="2" t="s">
        <v>378</v>
      </c>
      <c r="B367" s="2" t="s">
        <v>1</v>
      </c>
      <c r="C367" s="2" t="s">
        <v>209</v>
      </c>
      <c r="D367" s="2" t="s">
        <v>11</v>
      </c>
      <c r="E367" s="2" t="s">
        <v>4</v>
      </c>
      <c r="F367" s="2" t="s">
        <v>5</v>
      </c>
      <c r="G367" s="2">
        <v>2017</v>
      </c>
      <c r="H367" s="2">
        <v>10160.5</v>
      </c>
      <c r="I367" s="2">
        <v>8082</v>
      </c>
      <c r="J367" s="2">
        <v>2081.6999999999998</v>
      </c>
      <c r="L367"/>
      <c r="M367"/>
    </row>
    <row r="368" spans="1:13" x14ac:dyDescent="0.45">
      <c r="A368" s="2" t="s">
        <v>525</v>
      </c>
      <c r="B368" s="2" t="s">
        <v>1</v>
      </c>
      <c r="C368" s="2" t="s">
        <v>8</v>
      </c>
      <c r="D368" s="2" t="s">
        <v>3</v>
      </c>
      <c r="E368" s="2" t="s">
        <v>38</v>
      </c>
      <c r="F368" s="2" t="s">
        <v>35</v>
      </c>
      <c r="G368" s="2">
        <v>1991</v>
      </c>
      <c r="H368" s="2">
        <v>7673.1</v>
      </c>
      <c r="I368" s="2">
        <v>7673.1</v>
      </c>
      <c r="J368" s="2">
        <v>0</v>
      </c>
      <c r="L368"/>
      <c r="M368"/>
    </row>
    <row r="369" spans="1:13" x14ac:dyDescent="0.45">
      <c r="A369" s="2" t="s">
        <v>75</v>
      </c>
      <c r="B369" s="2" t="s">
        <v>1</v>
      </c>
      <c r="C369" s="2" t="s">
        <v>76</v>
      </c>
      <c r="D369" s="2" t="s">
        <v>11</v>
      </c>
      <c r="E369" s="2" t="s">
        <v>77</v>
      </c>
      <c r="F369" s="2" t="s">
        <v>5</v>
      </c>
      <c r="G369" s="2">
        <v>2020</v>
      </c>
      <c r="H369" s="2">
        <v>33179.800000000003</v>
      </c>
      <c r="I369" s="2">
        <v>18699.099999999999</v>
      </c>
      <c r="J369" s="2">
        <v>14501.2</v>
      </c>
      <c r="L369"/>
      <c r="M369"/>
    </row>
    <row r="370" spans="1:13" x14ac:dyDescent="0.45">
      <c r="A370" s="2" t="s">
        <v>202</v>
      </c>
      <c r="B370" s="2" t="s">
        <v>1</v>
      </c>
      <c r="C370" s="2" t="s">
        <v>8</v>
      </c>
      <c r="D370" s="2" t="s">
        <v>3</v>
      </c>
      <c r="E370" s="2" t="s">
        <v>4</v>
      </c>
      <c r="F370" s="2" t="s">
        <v>5</v>
      </c>
      <c r="G370" s="2">
        <v>2006</v>
      </c>
      <c r="H370" s="2">
        <v>15952.2</v>
      </c>
      <c r="I370" s="2">
        <v>4000.7</v>
      </c>
      <c r="J370" s="2">
        <v>11957.2</v>
      </c>
      <c r="L370"/>
      <c r="M370"/>
    </row>
    <row r="371" spans="1:13" x14ac:dyDescent="0.45">
      <c r="A371" s="2" t="s">
        <v>501</v>
      </c>
      <c r="B371" s="2" t="s">
        <v>1</v>
      </c>
      <c r="C371" s="2" t="s">
        <v>20</v>
      </c>
      <c r="D371" s="2" t="s">
        <v>3</v>
      </c>
      <c r="E371" s="2" t="s">
        <v>9</v>
      </c>
      <c r="F371" s="2" t="s">
        <v>5</v>
      </c>
      <c r="G371" s="2">
        <v>1981</v>
      </c>
      <c r="H371" s="2">
        <v>7940.4</v>
      </c>
      <c r="I371" s="2">
        <v>7942.6</v>
      </c>
      <c r="J371" s="2">
        <v>0</v>
      </c>
      <c r="L371"/>
      <c r="M371"/>
    </row>
    <row r="372" spans="1:13" x14ac:dyDescent="0.45">
      <c r="A372" s="2" t="s">
        <v>265</v>
      </c>
      <c r="B372" s="2" t="s">
        <v>1</v>
      </c>
      <c r="C372" s="2" t="s">
        <v>20</v>
      </c>
      <c r="D372" s="2" t="s">
        <v>3</v>
      </c>
      <c r="E372" s="2" t="s">
        <v>38</v>
      </c>
      <c r="F372" s="2" t="s">
        <v>35</v>
      </c>
      <c r="G372" s="2">
        <v>1967</v>
      </c>
      <c r="H372" s="2">
        <v>13404.2</v>
      </c>
      <c r="I372" s="2">
        <v>11623.7</v>
      </c>
      <c r="J372" s="2">
        <v>1790.5</v>
      </c>
      <c r="L372"/>
      <c r="M372"/>
    </row>
    <row r="373" spans="1:13" x14ac:dyDescent="0.45">
      <c r="A373" s="2" t="s">
        <v>489</v>
      </c>
      <c r="B373" s="2" t="s">
        <v>1</v>
      </c>
      <c r="C373" s="2" t="s">
        <v>29</v>
      </c>
      <c r="D373" s="2" t="s">
        <v>11</v>
      </c>
      <c r="E373" s="2" t="s">
        <v>69</v>
      </c>
      <c r="F373" s="2" t="s">
        <v>35</v>
      </c>
      <c r="G373" s="2">
        <v>2012</v>
      </c>
      <c r="H373" s="2">
        <v>8164.9</v>
      </c>
      <c r="I373" s="2">
        <v>7391.5</v>
      </c>
      <c r="J373" s="2">
        <v>775.8</v>
      </c>
      <c r="L373"/>
      <c r="M373"/>
    </row>
    <row r="374" spans="1:13" x14ac:dyDescent="0.45">
      <c r="A374" s="2" t="s">
        <v>106</v>
      </c>
      <c r="B374" s="2" t="s">
        <v>1</v>
      </c>
      <c r="C374" s="2" t="s">
        <v>8</v>
      </c>
      <c r="D374" s="2" t="s">
        <v>3</v>
      </c>
      <c r="E374" s="2" t="s">
        <v>9</v>
      </c>
      <c r="F374" s="2" t="s">
        <v>5</v>
      </c>
      <c r="G374" s="2">
        <v>2004</v>
      </c>
      <c r="H374" s="2">
        <v>25875.8</v>
      </c>
      <c r="I374" s="2">
        <v>18250.900000000001</v>
      </c>
      <c r="J374" s="2">
        <v>7641</v>
      </c>
      <c r="L374"/>
      <c r="M374"/>
    </row>
    <row r="375" spans="1:13" x14ac:dyDescent="0.45">
      <c r="A375" s="2" t="s">
        <v>364</v>
      </c>
      <c r="B375" s="2" t="s">
        <v>1</v>
      </c>
      <c r="C375" s="2" t="s">
        <v>20</v>
      </c>
      <c r="D375" s="2" t="s">
        <v>3</v>
      </c>
      <c r="E375" s="2" t="s">
        <v>4</v>
      </c>
      <c r="F375" s="2" t="s">
        <v>5</v>
      </c>
      <c r="G375" s="2">
        <v>2006</v>
      </c>
      <c r="H375" s="2">
        <v>10449</v>
      </c>
      <c r="I375" s="2">
        <v>7062.7</v>
      </c>
      <c r="J375" s="2">
        <v>3394.7</v>
      </c>
      <c r="L375"/>
      <c r="M375"/>
    </row>
    <row r="376" spans="1:13" x14ac:dyDescent="0.45">
      <c r="A376" s="2" t="s">
        <v>108</v>
      </c>
      <c r="B376" s="2" t="s">
        <v>1</v>
      </c>
      <c r="C376" s="2" t="s">
        <v>8</v>
      </c>
      <c r="D376" s="2" t="s">
        <v>3</v>
      </c>
      <c r="E376" s="2" t="s">
        <v>4</v>
      </c>
      <c r="F376" s="2" t="s">
        <v>5</v>
      </c>
      <c r="G376" s="2">
        <v>2011</v>
      </c>
      <c r="H376" s="2">
        <v>25818.400000000001</v>
      </c>
      <c r="I376" s="2">
        <v>15382.2</v>
      </c>
      <c r="J376" s="2">
        <v>10446.9</v>
      </c>
      <c r="L376"/>
      <c r="M376"/>
    </row>
    <row r="377" spans="1:13" x14ac:dyDescent="0.45">
      <c r="A377" s="2" t="s">
        <v>217</v>
      </c>
      <c r="B377" s="2" t="s">
        <v>1</v>
      </c>
      <c r="C377" s="2" t="s">
        <v>8</v>
      </c>
      <c r="D377" s="2" t="s">
        <v>3</v>
      </c>
      <c r="E377" s="2" t="s">
        <v>4</v>
      </c>
      <c r="F377" s="2" t="s">
        <v>5</v>
      </c>
      <c r="G377" s="2">
        <v>2017</v>
      </c>
      <c r="H377" s="2">
        <v>15252.2</v>
      </c>
      <c r="I377" s="2">
        <v>13192.5</v>
      </c>
      <c r="J377" s="2">
        <v>2067.1</v>
      </c>
      <c r="L377"/>
      <c r="M377"/>
    </row>
    <row r="378" spans="1:13" x14ac:dyDescent="0.45">
      <c r="A378" s="2" t="s">
        <v>198</v>
      </c>
      <c r="B378" s="2" t="s">
        <v>1</v>
      </c>
      <c r="C378" s="2" t="s">
        <v>8</v>
      </c>
      <c r="D378" s="2" t="s">
        <v>3</v>
      </c>
      <c r="E378" s="2" t="s">
        <v>4</v>
      </c>
      <c r="F378" s="2" t="s">
        <v>5</v>
      </c>
      <c r="G378" s="2">
        <v>2018</v>
      </c>
      <c r="H378" s="2">
        <v>16217.4</v>
      </c>
      <c r="I378" s="2">
        <v>14631.5</v>
      </c>
      <c r="J378" s="2">
        <v>1588.4</v>
      </c>
      <c r="L378"/>
      <c r="M378"/>
    </row>
    <row r="379" spans="1:13" x14ac:dyDescent="0.45">
      <c r="A379" s="2" t="s">
        <v>27</v>
      </c>
      <c r="B379" s="2" t="s">
        <v>1</v>
      </c>
      <c r="C379" s="2" t="s">
        <v>8</v>
      </c>
      <c r="D379" s="2" t="s">
        <v>3</v>
      </c>
      <c r="E379" s="2" t="s">
        <v>9</v>
      </c>
      <c r="F379" s="2" t="s">
        <v>5</v>
      </c>
      <c r="G379" s="2">
        <v>2011</v>
      </c>
      <c r="H379" s="2">
        <v>55028.3</v>
      </c>
      <c r="I379" s="2">
        <v>48805.599999999999</v>
      </c>
      <c r="J379" s="2">
        <v>6235.6</v>
      </c>
      <c r="L379"/>
      <c r="M379"/>
    </row>
    <row r="380" spans="1:13" x14ac:dyDescent="0.45">
      <c r="A380" s="2" t="s">
        <v>408</v>
      </c>
      <c r="B380" s="2" t="s">
        <v>1</v>
      </c>
      <c r="C380" s="2" t="s">
        <v>8</v>
      </c>
      <c r="D380" s="2" t="s">
        <v>11</v>
      </c>
      <c r="E380" s="2" t="s">
        <v>138</v>
      </c>
      <c r="F380" s="2" t="s">
        <v>5</v>
      </c>
      <c r="G380" s="2">
        <v>2010</v>
      </c>
      <c r="H380" s="2">
        <v>9495.2000000000007</v>
      </c>
      <c r="I380" s="2">
        <v>6483.6</v>
      </c>
      <c r="J380" s="2">
        <v>3011.7</v>
      </c>
      <c r="L380"/>
      <c r="M380"/>
    </row>
    <row r="381" spans="1:13" x14ac:dyDescent="0.45">
      <c r="A381" s="2" t="s">
        <v>96</v>
      </c>
      <c r="B381" s="2" t="s">
        <v>1</v>
      </c>
      <c r="C381" s="2" t="s">
        <v>58</v>
      </c>
      <c r="D381" s="2" t="s">
        <v>59</v>
      </c>
      <c r="E381" s="2" t="s">
        <v>9</v>
      </c>
      <c r="F381" s="2" t="s">
        <v>5</v>
      </c>
      <c r="G381" s="2">
        <v>2001</v>
      </c>
      <c r="H381" s="2">
        <v>28543.9</v>
      </c>
      <c r="I381" s="2">
        <v>25181.4</v>
      </c>
      <c r="J381" s="2">
        <v>3362.5</v>
      </c>
      <c r="L381"/>
      <c r="M381"/>
    </row>
    <row r="382" spans="1:13" x14ac:dyDescent="0.45">
      <c r="A382" s="2" t="s">
        <v>151</v>
      </c>
      <c r="B382" s="2" t="s">
        <v>1</v>
      </c>
      <c r="C382" s="2" t="s">
        <v>8</v>
      </c>
      <c r="D382" s="2" t="s">
        <v>3</v>
      </c>
      <c r="E382" s="2" t="s">
        <v>4</v>
      </c>
      <c r="F382" s="2" t="s">
        <v>5</v>
      </c>
      <c r="G382" s="2">
        <v>2008</v>
      </c>
      <c r="H382" s="2">
        <v>19383.5</v>
      </c>
      <c r="I382" s="2">
        <v>2977.3</v>
      </c>
      <c r="J382" s="2">
        <v>16406.099999999999</v>
      </c>
      <c r="L382"/>
      <c r="M382"/>
    </row>
    <row r="383" spans="1:13" x14ac:dyDescent="0.45">
      <c r="A383" s="2" t="s">
        <v>90</v>
      </c>
      <c r="B383" s="2" t="s">
        <v>1</v>
      </c>
      <c r="C383" s="2" t="s">
        <v>20</v>
      </c>
      <c r="D383" s="2" t="s">
        <v>3</v>
      </c>
      <c r="E383" s="2" t="s">
        <v>38</v>
      </c>
      <c r="F383" s="2" t="s">
        <v>35</v>
      </c>
      <c r="G383" s="2">
        <v>1973</v>
      </c>
      <c r="H383" s="2">
        <v>29370</v>
      </c>
      <c r="I383" s="2">
        <v>29307.599999999999</v>
      </c>
      <c r="J383" s="2">
        <v>70.8</v>
      </c>
      <c r="L383"/>
      <c r="M383"/>
    </row>
    <row r="384" spans="1:13" x14ac:dyDescent="0.45">
      <c r="A384" s="2" t="s">
        <v>239</v>
      </c>
      <c r="B384" s="2" t="s">
        <v>1</v>
      </c>
      <c r="C384" s="2" t="s">
        <v>229</v>
      </c>
      <c r="D384" s="2" t="s">
        <v>11</v>
      </c>
      <c r="E384" s="2" t="s">
        <v>12</v>
      </c>
      <c r="F384" s="2" t="s">
        <v>5</v>
      </c>
      <c r="G384" s="2">
        <v>2020</v>
      </c>
      <c r="H384" s="2">
        <v>14345.2</v>
      </c>
      <c r="I384" s="2">
        <v>7659.9</v>
      </c>
      <c r="J384" s="2">
        <v>6698.1</v>
      </c>
      <c r="L384"/>
      <c r="M384"/>
    </row>
    <row r="385" spans="1:13" x14ac:dyDescent="0.45">
      <c r="A385" s="2" t="s">
        <v>193</v>
      </c>
      <c r="B385" s="2" t="s">
        <v>1</v>
      </c>
      <c r="C385" s="2" t="s">
        <v>20</v>
      </c>
      <c r="D385" s="2" t="s">
        <v>3</v>
      </c>
      <c r="E385" s="2" t="s">
        <v>38</v>
      </c>
      <c r="F385" s="2" t="s">
        <v>35</v>
      </c>
      <c r="G385" s="2">
        <v>1992</v>
      </c>
      <c r="H385" s="2">
        <v>16454.900000000001</v>
      </c>
      <c r="I385" s="2">
        <v>16461.5</v>
      </c>
      <c r="J385" s="2">
        <v>3</v>
      </c>
      <c r="L385"/>
      <c r="M385"/>
    </row>
    <row r="386" spans="1:13" x14ac:dyDescent="0.45">
      <c r="A386" s="2" t="s">
        <v>496</v>
      </c>
      <c r="B386" s="2" t="s">
        <v>1</v>
      </c>
      <c r="C386" s="2" t="s">
        <v>8</v>
      </c>
      <c r="D386" s="2" t="s">
        <v>3</v>
      </c>
      <c r="E386" s="2" t="s">
        <v>4</v>
      </c>
      <c r="F386" s="2" t="s">
        <v>35</v>
      </c>
      <c r="G386" s="2">
        <v>2013</v>
      </c>
      <c r="H386" s="2">
        <v>8030.3</v>
      </c>
      <c r="I386" s="2">
        <v>7270.4</v>
      </c>
      <c r="J386" s="2">
        <v>754.2</v>
      </c>
      <c r="L386"/>
      <c r="M386"/>
    </row>
    <row r="387" spans="1:13" x14ac:dyDescent="0.45">
      <c r="A387" s="2" t="s">
        <v>520</v>
      </c>
      <c r="B387" s="2" t="s">
        <v>1</v>
      </c>
      <c r="C387" s="2" t="s">
        <v>521</v>
      </c>
      <c r="D387" s="2" t="s">
        <v>116</v>
      </c>
      <c r="E387" s="2" t="s">
        <v>4</v>
      </c>
      <c r="F387" s="2" t="s">
        <v>5</v>
      </c>
      <c r="G387" s="2">
        <v>2006</v>
      </c>
      <c r="H387" s="2">
        <v>7738.2</v>
      </c>
      <c r="I387" s="2">
        <v>3470.6</v>
      </c>
      <c r="J387" s="2">
        <v>4267.7</v>
      </c>
      <c r="L387"/>
      <c r="M387"/>
    </row>
    <row r="388" spans="1:13" x14ac:dyDescent="0.45">
      <c r="A388" s="2" t="s">
        <v>347</v>
      </c>
      <c r="B388" s="2" t="s">
        <v>1</v>
      </c>
      <c r="C388" s="2" t="s">
        <v>115</v>
      </c>
      <c r="D388" s="2" t="s">
        <v>116</v>
      </c>
      <c r="E388" s="2" t="s">
        <v>278</v>
      </c>
      <c r="F388" s="2" t="s">
        <v>35</v>
      </c>
      <c r="G388" s="2">
        <v>1995</v>
      </c>
      <c r="H388" s="2">
        <v>10902.6</v>
      </c>
      <c r="I388" s="2">
        <v>10910.3</v>
      </c>
      <c r="J388" s="2">
        <v>0</v>
      </c>
      <c r="L388"/>
      <c r="M388"/>
    </row>
    <row r="389" spans="1:13" x14ac:dyDescent="0.45">
      <c r="A389" s="2" t="s">
        <v>50</v>
      </c>
      <c r="B389" s="2" t="s">
        <v>1</v>
      </c>
      <c r="C389" s="2" t="s">
        <v>8</v>
      </c>
      <c r="D389" s="2" t="s">
        <v>11</v>
      </c>
      <c r="E389" s="2" t="s">
        <v>12</v>
      </c>
      <c r="F389" s="2" t="s">
        <v>5</v>
      </c>
      <c r="G389" s="2">
        <v>2014</v>
      </c>
      <c r="H389" s="2">
        <v>40738.6</v>
      </c>
      <c r="I389" s="2">
        <v>24898</v>
      </c>
      <c r="J389" s="2">
        <v>15857.7</v>
      </c>
      <c r="L389"/>
      <c r="M389"/>
    </row>
    <row r="390" spans="1:13" x14ac:dyDescent="0.45">
      <c r="A390" s="2" t="s">
        <v>398</v>
      </c>
      <c r="B390" s="2" t="s">
        <v>7</v>
      </c>
      <c r="C390" s="2" t="s">
        <v>20</v>
      </c>
      <c r="D390" s="2" t="s">
        <v>3</v>
      </c>
      <c r="E390" s="2" t="s">
        <v>9</v>
      </c>
      <c r="F390" s="2" t="s">
        <v>5</v>
      </c>
      <c r="G390" s="2">
        <v>2014</v>
      </c>
      <c r="H390" s="2">
        <v>9859.6</v>
      </c>
      <c r="I390" s="2">
        <v>4832.5</v>
      </c>
      <c r="J390" s="2">
        <v>5032.8999999999996</v>
      </c>
      <c r="L390"/>
      <c r="M390"/>
    </row>
    <row r="391" spans="1:13" x14ac:dyDescent="0.45">
      <c r="A391" s="2" t="s">
        <v>128</v>
      </c>
      <c r="B391" s="2" t="s">
        <v>65</v>
      </c>
      <c r="C391" s="2" t="s">
        <v>8</v>
      </c>
      <c r="D391" s="2" t="s">
        <v>3</v>
      </c>
      <c r="E391" s="2" t="s">
        <v>38</v>
      </c>
      <c r="F391" s="2" t="s">
        <v>35</v>
      </c>
      <c r="G391" s="2">
        <v>1984</v>
      </c>
      <c r="H391" s="2">
        <v>21873.8</v>
      </c>
      <c r="I391" s="2">
        <v>21884.2</v>
      </c>
      <c r="J391" s="2">
        <v>0</v>
      </c>
      <c r="L391"/>
      <c r="M391"/>
    </row>
    <row r="392" spans="1:13" x14ac:dyDescent="0.45">
      <c r="A392" s="2" t="s">
        <v>308</v>
      </c>
      <c r="B392" s="2" t="s">
        <v>1</v>
      </c>
      <c r="C392" s="2" t="s">
        <v>76</v>
      </c>
      <c r="D392" s="2" t="s">
        <v>11</v>
      </c>
      <c r="E392" s="2" t="s">
        <v>69</v>
      </c>
      <c r="F392" s="2" t="s">
        <v>35</v>
      </c>
      <c r="G392" s="2">
        <v>2005</v>
      </c>
      <c r="H392" s="2">
        <v>11853.7</v>
      </c>
      <c r="I392" s="2">
        <v>9900.6</v>
      </c>
      <c r="J392" s="2">
        <v>1953.1</v>
      </c>
      <c r="L392"/>
      <c r="M392"/>
    </row>
    <row r="393" spans="1:13" x14ac:dyDescent="0.45">
      <c r="A393" s="2" t="s">
        <v>254</v>
      </c>
      <c r="B393" s="2" t="s">
        <v>1</v>
      </c>
      <c r="C393" s="2" t="s">
        <v>229</v>
      </c>
      <c r="D393" s="2" t="s">
        <v>11</v>
      </c>
      <c r="E393" s="2" t="s">
        <v>4</v>
      </c>
      <c r="F393" s="2" t="s">
        <v>5</v>
      </c>
      <c r="G393" s="2">
        <v>2014</v>
      </c>
      <c r="H393" s="2">
        <v>13734.1</v>
      </c>
      <c r="I393" s="2">
        <v>11278.9</v>
      </c>
      <c r="J393" s="2">
        <v>2462</v>
      </c>
      <c r="L393"/>
      <c r="M393"/>
    </row>
    <row r="394" spans="1:13" x14ac:dyDescent="0.45">
      <c r="A394" s="2" t="s">
        <v>514</v>
      </c>
      <c r="B394" s="2" t="s">
        <v>1</v>
      </c>
      <c r="C394" s="2" t="s">
        <v>20</v>
      </c>
      <c r="D394" s="2" t="s">
        <v>3</v>
      </c>
      <c r="E394" s="2" t="s">
        <v>9</v>
      </c>
      <c r="F394" s="2" t="s">
        <v>5</v>
      </c>
      <c r="G394" s="2">
        <v>2015</v>
      </c>
      <c r="H394" s="2">
        <v>7824.1</v>
      </c>
      <c r="I394" s="2">
        <v>6895.6</v>
      </c>
      <c r="J394" s="2">
        <v>928.5</v>
      </c>
      <c r="L394"/>
      <c r="M394"/>
    </row>
    <row r="395" spans="1:13" x14ac:dyDescent="0.45">
      <c r="A395" s="2" t="s">
        <v>511</v>
      </c>
      <c r="B395" s="2" t="s">
        <v>1</v>
      </c>
      <c r="C395" s="2" t="s">
        <v>512</v>
      </c>
      <c r="D395" s="2" t="s">
        <v>11</v>
      </c>
      <c r="E395" s="2" t="s">
        <v>69</v>
      </c>
      <c r="F395" s="2" t="s">
        <v>5</v>
      </c>
      <c r="G395" s="2">
        <v>1985</v>
      </c>
      <c r="H395" s="2">
        <v>7852.2</v>
      </c>
      <c r="I395" s="2">
        <v>7854.4</v>
      </c>
      <c r="J395" s="2">
        <v>4</v>
      </c>
      <c r="L395"/>
      <c r="M395"/>
    </row>
    <row r="396" spans="1:13" x14ac:dyDescent="0.45">
      <c r="A396" s="2" t="s">
        <v>320</v>
      </c>
      <c r="B396" s="2" t="s">
        <v>1</v>
      </c>
      <c r="C396" s="2" t="s">
        <v>8</v>
      </c>
      <c r="D396" s="2" t="s">
        <v>3</v>
      </c>
      <c r="E396" s="2" t="s">
        <v>4</v>
      </c>
      <c r="F396" s="2" t="s">
        <v>5</v>
      </c>
      <c r="G396" s="2">
        <v>2006</v>
      </c>
      <c r="H396" s="2">
        <v>11575.2</v>
      </c>
      <c r="I396" s="2">
        <v>3209.4</v>
      </c>
      <c r="J396" s="2">
        <v>8365.7999999999993</v>
      </c>
      <c r="L396"/>
      <c r="M396"/>
    </row>
    <row r="397" spans="1:13" x14ac:dyDescent="0.45">
      <c r="A397" s="2" t="s">
        <v>22</v>
      </c>
      <c r="B397" s="2" t="s">
        <v>7</v>
      </c>
      <c r="C397" s="2" t="s">
        <v>23</v>
      </c>
      <c r="D397" s="2" t="s">
        <v>3</v>
      </c>
      <c r="E397" s="2" t="s">
        <v>9</v>
      </c>
      <c r="F397" s="2" t="s">
        <v>5</v>
      </c>
      <c r="G397" s="2">
        <v>2005</v>
      </c>
      <c r="H397" s="2">
        <v>60670.7</v>
      </c>
      <c r="I397" s="2">
        <v>44824.4</v>
      </c>
      <c r="J397" s="2">
        <v>15846.4</v>
      </c>
      <c r="L397"/>
      <c r="M397"/>
    </row>
    <row r="398" spans="1:13" x14ac:dyDescent="0.45">
      <c r="A398" s="2" t="s">
        <v>532</v>
      </c>
      <c r="B398" s="2" t="s">
        <v>7</v>
      </c>
      <c r="C398" s="2" t="s">
        <v>20</v>
      </c>
      <c r="D398" s="2" t="s">
        <v>3</v>
      </c>
      <c r="E398" s="2" t="s">
        <v>9</v>
      </c>
      <c r="F398" s="2" t="s">
        <v>5</v>
      </c>
      <c r="G398" s="2">
        <v>2012</v>
      </c>
      <c r="H398" s="2">
        <v>7596.7</v>
      </c>
      <c r="I398" s="2">
        <v>3575.7</v>
      </c>
      <c r="J398" s="2">
        <v>4021</v>
      </c>
      <c r="L398"/>
      <c r="M398"/>
    </row>
    <row r="399" spans="1:13" x14ac:dyDescent="0.45">
      <c r="A399" s="2" t="s">
        <v>298</v>
      </c>
      <c r="B399" s="2" t="s">
        <v>1</v>
      </c>
      <c r="C399" s="2" t="s">
        <v>115</v>
      </c>
      <c r="D399" s="2" t="s">
        <v>116</v>
      </c>
      <c r="E399" s="2" t="s">
        <v>47</v>
      </c>
      <c r="F399" s="2" t="s">
        <v>5</v>
      </c>
      <c r="G399" s="2">
        <v>2014</v>
      </c>
      <c r="H399" s="2">
        <v>12403.3</v>
      </c>
      <c r="I399" s="2">
        <v>7261.2</v>
      </c>
      <c r="J399" s="2">
        <v>5145.8</v>
      </c>
      <c r="L399"/>
      <c r="M399"/>
    </row>
    <row r="400" spans="1:13" x14ac:dyDescent="0.45">
      <c r="A400" s="2" t="s">
        <v>490</v>
      </c>
      <c r="B400" s="2" t="s">
        <v>1</v>
      </c>
      <c r="C400" s="2" t="s">
        <v>8</v>
      </c>
      <c r="D400" s="2" t="s">
        <v>3</v>
      </c>
      <c r="E400" s="2" t="s">
        <v>4</v>
      </c>
      <c r="F400" s="2" t="s">
        <v>5</v>
      </c>
      <c r="G400" s="2">
        <v>2015</v>
      </c>
      <c r="H400" s="2">
        <v>8148</v>
      </c>
      <c r="I400" s="2">
        <v>7808</v>
      </c>
      <c r="J400" s="2">
        <v>340</v>
      </c>
      <c r="L400"/>
      <c r="M400"/>
    </row>
    <row r="401" spans="1:13" x14ac:dyDescent="0.45">
      <c r="A401" s="2" t="s">
        <v>255</v>
      </c>
      <c r="B401" s="2" t="s">
        <v>1</v>
      </c>
      <c r="C401" s="2" t="s">
        <v>8</v>
      </c>
      <c r="D401" s="2" t="s">
        <v>3</v>
      </c>
      <c r="E401" s="2" t="s">
        <v>4</v>
      </c>
      <c r="F401" s="2" t="s">
        <v>5</v>
      </c>
      <c r="G401" s="2">
        <v>2017</v>
      </c>
      <c r="H401" s="2">
        <v>13692</v>
      </c>
      <c r="I401" s="2">
        <v>6665</v>
      </c>
      <c r="J401" s="2">
        <v>7030</v>
      </c>
      <c r="L401"/>
      <c r="M401"/>
    </row>
    <row r="402" spans="1:13" x14ac:dyDescent="0.45">
      <c r="A402" s="2" t="s">
        <v>137</v>
      </c>
      <c r="B402" s="2" t="s">
        <v>1</v>
      </c>
      <c r="C402" s="2" t="s">
        <v>8</v>
      </c>
      <c r="D402" s="2" t="s">
        <v>11</v>
      </c>
      <c r="E402" s="2" t="s">
        <v>138</v>
      </c>
      <c r="F402" s="2" t="s">
        <v>5</v>
      </c>
      <c r="G402" s="2">
        <v>2011</v>
      </c>
      <c r="H402" s="2">
        <v>20549.2</v>
      </c>
      <c r="I402" s="2">
        <v>14249.8</v>
      </c>
      <c r="J402" s="2">
        <v>6311</v>
      </c>
      <c r="L402"/>
      <c r="M402"/>
    </row>
    <row r="403" spans="1:13" x14ac:dyDescent="0.45">
      <c r="A403" s="2" t="s">
        <v>228</v>
      </c>
      <c r="B403" s="2" t="s">
        <v>7</v>
      </c>
      <c r="C403" s="2" t="s">
        <v>229</v>
      </c>
      <c r="D403" s="2" t="s">
        <v>11</v>
      </c>
      <c r="E403" s="2" t="s">
        <v>9</v>
      </c>
      <c r="F403" s="2" t="s">
        <v>5</v>
      </c>
      <c r="G403" s="2">
        <v>2016</v>
      </c>
      <c r="H403" s="2">
        <v>14558.4</v>
      </c>
      <c r="I403" s="2">
        <v>10084</v>
      </c>
      <c r="J403" s="2">
        <v>4479.1000000000004</v>
      </c>
      <c r="L403"/>
      <c r="M403"/>
    </row>
    <row r="404" spans="1:13" x14ac:dyDescent="0.45">
      <c r="A404" s="2" t="s">
        <v>495</v>
      </c>
      <c r="B404" s="2" t="s">
        <v>1</v>
      </c>
      <c r="C404" s="2" t="s">
        <v>8</v>
      </c>
      <c r="D404" s="2" t="s">
        <v>3</v>
      </c>
      <c r="E404" s="2" t="s">
        <v>4</v>
      </c>
      <c r="F404" s="2" t="s">
        <v>5</v>
      </c>
      <c r="G404" s="2">
        <v>2011</v>
      </c>
      <c r="H404" s="2">
        <v>8043.6</v>
      </c>
      <c r="I404" s="2">
        <v>7678.7</v>
      </c>
      <c r="J404" s="2">
        <v>364.9</v>
      </c>
      <c r="L404"/>
      <c r="M404"/>
    </row>
    <row r="405" spans="1:13" x14ac:dyDescent="0.45">
      <c r="A405" s="2" t="s">
        <v>527</v>
      </c>
      <c r="B405" s="2" t="s">
        <v>1</v>
      </c>
      <c r="C405" s="2" t="s">
        <v>29</v>
      </c>
      <c r="D405" s="2" t="s">
        <v>11</v>
      </c>
      <c r="E405" s="2" t="s">
        <v>12</v>
      </c>
      <c r="F405" s="2" t="s">
        <v>5</v>
      </c>
      <c r="G405" s="2">
        <v>2017</v>
      </c>
      <c r="H405" s="2">
        <v>7645.2</v>
      </c>
      <c r="I405" s="2">
        <v>4203.6000000000004</v>
      </c>
      <c r="J405" s="2">
        <v>3448.5</v>
      </c>
      <c r="L405"/>
      <c r="M405"/>
    </row>
    <row r="406" spans="1:13" x14ac:dyDescent="0.45">
      <c r="A406" s="2" t="s">
        <v>565</v>
      </c>
      <c r="B406" s="2" t="s">
        <v>1</v>
      </c>
      <c r="C406" s="2" t="s">
        <v>8</v>
      </c>
      <c r="D406" s="2" t="s">
        <v>3</v>
      </c>
      <c r="E406" s="2" t="s">
        <v>4</v>
      </c>
      <c r="F406" s="2" t="s">
        <v>5</v>
      </c>
      <c r="G406" s="2">
        <v>2008</v>
      </c>
      <c r="H406" s="2">
        <v>7237.6</v>
      </c>
      <c r="I406" s="2">
        <v>0</v>
      </c>
      <c r="J406" s="2">
        <v>7237.6</v>
      </c>
      <c r="L406"/>
      <c r="M406"/>
    </row>
    <row r="407" spans="1:13" x14ac:dyDescent="0.45">
      <c r="A407" s="2" t="s">
        <v>112</v>
      </c>
      <c r="B407" s="2" t="s">
        <v>7</v>
      </c>
      <c r="C407" s="2" t="s">
        <v>8</v>
      </c>
      <c r="D407" s="2" t="s">
        <v>3</v>
      </c>
      <c r="E407" s="2" t="s">
        <v>9</v>
      </c>
      <c r="F407" s="2" t="s">
        <v>5</v>
      </c>
      <c r="G407" s="2">
        <v>2014</v>
      </c>
      <c r="H407" s="2">
        <v>24888.6</v>
      </c>
      <c r="I407" s="2">
        <v>22789.599999999999</v>
      </c>
      <c r="J407" s="2">
        <v>2114.3000000000002</v>
      </c>
      <c r="L407"/>
      <c r="M407"/>
    </row>
    <row r="408" spans="1:13" x14ac:dyDescent="0.45">
      <c r="A408" s="2" t="s">
        <v>453</v>
      </c>
      <c r="B408" s="2" t="s">
        <v>1</v>
      </c>
      <c r="C408" s="2" t="s">
        <v>58</v>
      </c>
      <c r="D408" s="2" t="s">
        <v>59</v>
      </c>
      <c r="E408" s="2" t="s">
        <v>60</v>
      </c>
      <c r="F408" s="2" t="s">
        <v>35</v>
      </c>
      <c r="G408" s="2">
        <v>2009</v>
      </c>
      <c r="H408" s="2">
        <v>8584.2000000000007</v>
      </c>
      <c r="I408" s="2">
        <v>6741.1</v>
      </c>
      <c r="J408" s="2">
        <v>1843.2</v>
      </c>
      <c r="L408"/>
      <c r="M408"/>
    </row>
    <row r="409" spans="1:13" x14ac:dyDescent="0.45">
      <c r="A409" s="2" t="s">
        <v>91</v>
      </c>
      <c r="B409" s="2" t="s">
        <v>1</v>
      </c>
      <c r="C409" s="2" t="s">
        <v>20</v>
      </c>
      <c r="D409" s="2" t="s">
        <v>3</v>
      </c>
      <c r="E409" s="2" t="s">
        <v>9</v>
      </c>
      <c r="F409" s="2" t="s">
        <v>5</v>
      </c>
      <c r="G409" s="2">
        <v>2012</v>
      </c>
      <c r="H409" s="2">
        <v>29197.200000000001</v>
      </c>
      <c r="I409" s="2">
        <v>24125.8</v>
      </c>
      <c r="J409" s="2">
        <v>5078.3</v>
      </c>
      <c r="L409"/>
      <c r="M409"/>
    </row>
    <row r="410" spans="1:13" x14ac:dyDescent="0.45">
      <c r="A410" s="2" t="s">
        <v>515</v>
      </c>
      <c r="B410" s="2" t="s">
        <v>1</v>
      </c>
      <c r="C410" s="2" t="s">
        <v>8</v>
      </c>
      <c r="D410" s="2" t="s">
        <v>3</v>
      </c>
      <c r="E410" s="2" t="s">
        <v>4</v>
      </c>
      <c r="F410" s="2" t="s">
        <v>5</v>
      </c>
      <c r="G410" s="2">
        <v>2008</v>
      </c>
      <c r="H410" s="2">
        <v>7817.3</v>
      </c>
      <c r="I410" s="2">
        <v>4590.3999999999996</v>
      </c>
      <c r="J410" s="2">
        <v>3227</v>
      </c>
      <c r="L410"/>
      <c r="M410"/>
    </row>
    <row r="411" spans="1:13" x14ac:dyDescent="0.45">
      <c r="A411" s="2" t="s">
        <v>169</v>
      </c>
      <c r="B411" s="2" t="s">
        <v>1</v>
      </c>
      <c r="C411" s="2" t="s">
        <v>170</v>
      </c>
      <c r="D411" s="2" t="s">
        <v>3</v>
      </c>
      <c r="E411" s="2" t="s">
        <v>171</v>
      </c>
      <c r="F411" s="2" t="s">
        <v>5</v>
      </c>
      <c r="G411" s="2">
        <v>1996</v>
      </c>
      <c r="H411" s="2">
        <v>18203.3</v>
      </c>
      <c r="I411" s="2">
        <v>9674.9</v>
      </c>
      <c r="J411" s="2">
        <v>8539.4</v>
      </c>
      <c r="L411"/>
      <c r="M411"/>
    </row>
    <row r="412" spans="1:13" x14ac:dyDescent="0.45">
      <c r="A412" s="2" t="s">
        <v>185</v>
      </c>
      <c r="B412" s="2" t="s">
        <v>1</v>
      </c>
      <c r="C412" s="2" t="s">
        <v>29</v>
      </c>
      <c r="D412" s="2" t="s">
        <v>11</v>
      </c>
      <c r="E412" s="2" t="s">
        <v>69</v>
      </c>
      <c r="F412" s="2" t="s">
        <v>5</v>
      </c>
      <c r="G412" s="2">
        <v>2013</v>
      </c>
      <c r="H412" s="2">
        <v>16984.3</v>
      </c>
      <c r="I412" s="2">
        <v>10969.8</v>
      </c>
      <c r="J412" s="2">
        <v>6018.9</v>
      </c>
      <c r="L412"/>
      <c r="M412"/>
    </row>
    <row r="413" spans="1:13" x14ac:dyDescent="0.45">
      <c r="A413" s="2" t="s">
        <v>148</v>
      </c>
      <c r="B413" s="2" t="s">
        <v>1</v>
      </c>
      <c r="C413" s="2" t="s">
        <v>149</v>
      </c>
      <c r="D413" s="2" t="s">
        <v>11</v>
      </c>
      <c r="E413" s="2" t="s">
        <v>12</v>
      </c>
      <c r="F413" s="2" t="s">
        <v>5</v>
      </c>
      <c r="G413" s="2">
        <v>2014</v>
      </c>
      <c r="H413" s="2">
        <v>19528.3</v>
      </c>
      <c r="I413" s="2">
        <v>7512.9</v>
      </c>
      <c r="J413" s="2">
        <v>12015.4</v>
      </c>
      <c r="L413"/>
      <c r="M413"/>
    </row>
    <row r="414" spans="1:13" x14ac:dyDescent="0.45">
      <c r="A414" s="2" t="s">
        <v>103</v>
      </c>
      <c r="B414" s="2" t="s">
        <v>7</v>
      </c>
      <c r="C414" s="2" t="s">
        <v>8</v>
      </c>
      <c r="D414" s="2" t="s">
        <v>3</v>
      </c>
      <c r="E414" s="2" t="s">
        <v>9</v>
      </c>
      <c r="F414" s="2" t="s">
        <v>5</v>
      </c>
      <c r="G414" s="2">
        <v>2008</v>
      </c>
      <c r="H414" s="2">
        <v>26895.1</v>
      </c>
      <c r="I414" s="2">
        <v>16017.5</v>
      </c>
      <c r="J414" s="2">
        <v>10884.4</v>
      </c>
      <c r="L414"/>
      <c r="M414"/>
    </row>
    <row r="415" spans="1:13" x14ac:dyDescent="0.45">
      <c r="A415" s="2" t="s">
        <v>457</v>
      </c>
      <c r="B415" s="2" t="s">
        <v>65</v>
      </c>
      <c r="C415" s="2" t="s">
        <v>32</v>
      </c>
      <c r="D415" s="2" t="s">
        <v>33</v>
      </c>
      <c r="E415" s="2" t="s">
        <v>34</v>
      </c>
      <c r="F415" s="2" t="s">
        <v>35</v>
      </c>
      <c r="G415" s="2">
        <v>2015</v>
      </c>
      <c r="H415" s="2">
        <v>8531.2999999999993</v>
      </c>
      <c r="I415" s="2">
        <v>8465.7000000000007</v>
      </c>
      <c r="J415" s="2">
        <v>70</v>
      </c>
      <c r="L415"/>
      <c r="M415"/>
    </row>
    <row r="416" spans="1:13" x14ac:dyDescent="0.45">
      <c r="A416" s="2" t="s">
        <v>410</v>
      </c>
      <c r="B416" s="2" t="s">
        <v>1</v>
      </c>
      <c r="C416" s="2" t="s">
        <v>394</v>
      </c>
      <c r="D416" s="2" t="s">
        <v>395</v>
      </c>
      <c r="E416" s="2" t="s">
        <v>4</v>
      </c>
      <c r="F416" s="2" t="s">
        <v>5</v>
      </c>
      <c r="G416" s="2">
        <v>2011</v>
      </c>
      <c r="H416" s="2">
        <v>9437.2999999999993</v>
      </c>
      <c r="I416" s="2">
        <v>6110.3</v>
      </c>
      <c r="J416" s="2">
        <v>3331.7</v>
      </c>
      <c r="L416"/>
      <c r="M416"/>
    </row>
    <row r="417" spans="1:13" x14ac:dyDescent="0.45">
      <c r="A417" s="2" t="s">
        <v>83</v>
      </c>
      <c r="B417" s="2" t="s">
        <v>7</v>
      </c>
      <c r="C417" s="2" t="s">
        <v>29</v>
      </c>
      <c r="D417" s="2" t="s">
        <v>11</v>
      </c>
      <c r="E417" s="2" t="s">
        <v>69</v>
      </c>
      <c r="F417" s="2" t="s">
        <v>5</v>
      </c>
      <c r="G417" s="2">
        <v>1991</v>
      </c>
      <c r="H417" s="2">
        <v>31212.400000000001</v>
      </c>
      <c r="I417" s="2">
        <v>24041</v>
      </c>
      <c r="J417" s="2">
        <v>7171.5</v>
      </c>
      <c r="L417"/>
      <c r="M417"/>
    </row>
    <row r="418" spans="1:13" x14ac:dyDescent="0.45">
      <c r="A418" s="2" t="s">
        <v>88</v>
      </c>
      <c r="B418" s="2" t="s">
        <v>1</v>
      </c>
      <c r="C418" s="2" t="s">
        <v>2</v>
      </c>
      <c r="D418" s="2" t="s">
        <v>3</v>
      </c>
      <c r="E418" s="2" t="s">
        <v>9</v>
      </c>
      <c r="F418" s="2" t="s">
        <v>5</v>
      </c>
      <c r="G418" s="2">
        <v>2014</v>
      </c>
      <c r="H418" s="2">
        <v>29471.1</v>
      </c>
      <c r="I418" s="2">
        <v>28781</v>
      </c>
      <c r="J418" s="2">
        <v>699</v>
      </c>
      <c r="L418"/>
      <c r="M418"/>
    </row>
    <row r="419" spans="1:13" x14ac:dyDescent="0.45">
      <c r="A419" s="2" t="s">
        <v>207</v>
      </c>
      <c r="B419" s="2" t="s">
        <v>7</v>
      </c>
      <c r="C419" s="2" t="s">
        <v>58</v>
      </c>
      <c r="D419" s="2" t="s">
        <v>59</v>
      </c>
      <c r="E419" s="2" t="s">
        <v>60</v>
      </c>
      <c r="F419" s="2" t="s">
        <v>5</v>
      </c>
      <c r="G419" s="2">
        <v>2002</v>
      </c>
      <c r="H419" s="2">
        <v>15723</v>
      </c>
      <c r="I419" s="2">
        <v>2035.3</v>
      </c>
      <c r="J419" s="2">
        <v>13703.9</v>
      </c>
      <c r="L419"/>
      <c r="M419"/>
    </row>
    <row r="420" spans="1:13" x14ac:dyDescent="0.45">
      <c r="A420" s="2" t="s">
        <v>80</v>
      </c>
      <c r="B420" s="2" t="s">
        <v>7</v>
      </c>
      <c r="C420" s="2" t="s">
        <v>81</v>
      </c>
      <c r="D420" s="2" t="s">
        <v>3</v>
      </c>
      <c r="E420" s="2" t="s">
        <v>9</v>
      </c>
      <c r="F420" s="2" t="s">
        <v>5</v>
      </c>
      <c r="G420" s="2">
        <v>1997</v>
      </c>
      <c r="H420" s="2">
        <v>31642.1</v>
      </c>
      <c r="I420" s="2">
        <v>21063.200000000001</v>
      </c>
      <c r="J420" s="2">
        <v>10588.2</v>
      </c>
      <c r="L420"/>
      <c r="M420"/>
    </row>
    <row r="421" spans="1:13" x14ac:dyDescent="0.45">
      <c r="A421" s="2" t="s">
        <v>332</v>
      </c>
      <c r="B421" s="2" t="s">
        <v>1</v>
      </c>
      <c r="C421" s="2" t="s">
        <v>8</v>
      </c>
      <c r="D421" s="2" t="s">
        <v>3</v>
      </c>
      <c r="E421" s="2" t="s">
        <v>47</v>
      </c>
      <c r="F421" s="2" t="s">
        <v>5</v>
      </c>
      <c r="G421" s="2">
        <v>2010</v>
      </c>
      <c r="H421" s="2">
        <v>11198.8</v>
      </c>
      <c r="I421" s="2">
        <v>5328.3</v>
      </c>
      <c r="J421" s="2">
        <v>5873.2</v>
      </c>
      <c r="L421"/>
      <c r="M421"/>
    </row>
    <row r="422" spans="1:13" x14ac:dyDescent="0.45">
      <c r="A422" s="2" t="s">
        <v>339</v>
      </c>
      <c r="B422" s="2" t="s">
        <v>1</v>
      </c>
      <c r="C422" s="2" t="s">
        <v>8</v>
      </c>
      <c r="D422" s="2" t="s">
        <v>3</v>
      </c>
      <c r="E422" s="2" t="s">
        <v>278</v>
      </c>
      <c r="F422" s="2" t="s">
        <v>35</v>
      </c>
      <c r="G422" s="2">
        <v>1999</v>
      </c>
      <c r="H422" s="2">
        <v>11051.4</v>
      </c>
      <c r="I422" s="2">
        <v>11056.2</v>
      </c>
      <c r="J422" s="2">
        <v>0</v>
      </c>
      <c r="L422"/>
      <c r="M422"/>
    </row>
    <row r="423" spans="1:13" x14ac:dyDescent="0.45">
      <c r="A423" s="2" t="s">
        <v>136</v>
      </c>
      <c r="B423" s="2" t="s">
        <v>1</v>
      </c>
      <c r="C423" s="2" t="s">
        <v>8</v>
      </c>
      <c r="D423" s="2" t="s">
        <v>3</v>
      </c>
      <c r="E423" s="2" t="s">
        <v>4</v>
      </c>
      <c r="F423" s="2" t="s">
        <v>5</v>
      </c>
      <c r="G423" s="2">
        <v>1993</v>
      </c>
      <c r="H423" s="2">
        <v>20644.8</v>
      </c>
      <c r="I423" s="2">
        <v>7762</v>
      </c>
      <c r="J423" s="2">
        <v>12890.7</v>
      </c>
      <c r="L423"/>
      <c r="M423"/>
    </row>
    <row r="424" spans="1:13" x14ac:dyDescent="0.45">
      <c r="A424" s="2" t="s">
        <v>365</v>
      </c>
      <c r="B424" s="2" t="s">
        <v>1</v>
      </c>
      <c r="C424" s="2" t="s">
        <v>8</v>
      </c>
      <c r="D424" s="2" t="s">
        <v>3</v>
      </c>
      <c r="E424" s="2" t="s">
        <v>14</v>
      </c>
      <c r="F424" s="2" t="s">
        <v>5</v>
      </c>
      <c r="G424" s="2">
        <v>2015</v>
      </c>
      <c r="H424" s="2">
        <v>10368.700000000001</v>
      </c>
      <c r="I424" s="2">
        <v>9179.2000000000007</v>
      </c>
      <c r="J424" s="2">
        <v>1201.2</v>
      </c>
      <c r="L424"/>
      <c r="M424"/>
    </row>
    <row r="425" spans="1:13" x14ac:dyDescent="0.45">
      <c r="A425" s="2" t="s">
        <v>468</v>
      </c>
      <c r="B425" s="2" t="s">
        <v>1</v>
      </c>
      <c r="C425" s="2" t="s">
        <v>8</v>
      </c>
      <c r="D425" s="2" t="s">
        <v>3</v>
      </c>
      <c r="E425" s="2" t="s">
        <v>442</v>
      </c>
      <c r="F425" s="2" t="s">
        <v>5</v>
      </c>
      <c r="G425" s="2">
        <v>1962</v>
      </c>
      <c r="H425" s="2">
        <v>8371.5</v>
      </c>
      <c r="I425" s="2">
        <v>7723.5</v>
      </c>
      <c r="J425" s="2">
        <v>648</v>
      </c>
      <c r="L425"/>
      <c r="M425"/>
    </row>
    <row r="426" spans="1:13" x14ac:dyDescent="0.45">
      <c r="A426" s="2" t="s">
        <v>224</v>
      </c>
      <c r="B426" s="2" t="s">
        <v>1</v>
      </c>
      <c r="C426" s="2" t="s">
        <v>32</v>
      </c>
      <c r="D426" s="2" t="s">
        <v>33</v>
      </c>
      <c r="E426" s="2" t="s">
        <v>34</v>
      </c>
      <c r="F426" s="2" t="s">
        <v>35</v>
      </c>
      <c r="G426" s="2">
        <v>2018</v>
      </c>
      <c r="H426" s="2">
        <v>14947.4</v>
      </c>
      <c r="I426" s="2">
        <v>14819</v>
      </c>
      <c r="J426" s="2">
        <v>136.5</v>
      </c>
      <c r="L426"/>
      <c r="M426"/>
    </row>
    <row r="427" spans="1:13" x14ac:dyDescent="0.45">
      <c r="A427" s="2" t="s">
        <v>354</v>
      </c>
      <c r="B427" s="2" t="s">
        <v>7</v>
      </c>
      <c r="C427" s="2" t="s">
        <v>8</v>
      </c>
      <c r="D427" s="2" t="s">
        <v>3</v>
      </c>
      <c r="E427" s="2" t="s">
        <v>14</v>
      </c>
      <c r="F427" s="2" t="s">
        <v>5</v>
      </c>
      <c r="G427" s="2">
        <v>2018</v>
      </c>
      <c r="H427" s="2">
        <v>10756.4</v>
      </c>
      <c r="I427" s="2">
        <v>7776.1</v>
      </c>
      <c r="J427" s="2">
        <v>2980.3</v>
      </c>
      <c r="L427"/>
      <c r="M427"/>
    </row>
    <row r="428" spans="1:13" x14ac:dyDescent="0.45">
      <c r="A428" s="2" t="s">
        <v>206</v>
      </c>
      <c r="B428" s="2" t="s">
        <v>1</v>
      </c>
      <c r="C428" s="2" t="s">
        <v>8</v>
      </c>
      <c r="D428" s="2" t="s">
        <v>3</v>
      </c>
      <c r="E428" s="2" t="s">
        <v>4</v>
      </c>
      <c r="F428" s="2" t="s">
        <v>5</v>
      </c>
      <c r="G428" s="2">
        <v>2010</v>
      </c>
      <c r="H428" s="2">
        <v>15746</v>
      </c>
      <c r="I428" s="2">
        <v>502.4</v>
      </c>
      <c r="J428" s="2">
        <v>15243.6</v>
      </c>
      <c r="L428"/>
      <c r="M428"/>
    </row>
    <row r="429" spans="1:13" x14ac:dyDescent="0.45">
      <c r="A429" s="2" t="s">
        <v>277</v>
      </c>
      <c r="B429" s="2" t="s">
        <v>1</v>
      </c>
      <c r="C429" s="2" t="s">
        <v>8</v>
      </c>
      <c r="D429" s="2" t="s">
        <v>3</v>
      </c>
      <c r="E429" s="2" t="s">
        <v>278</v>
      </c>
      <c r="F429" s="2" t="s">
        <v>35</v>
      </c>
      <c r="G429" s="2">
        <v>1998</v>
      </c>
      <c r="H429" s="2">
        <v>13009.4</v>
      </c>
      <c r="I429" s="2">
        <v>13017.1</v>
      </c>
      <c r="J429" s="2">
        <v>0</v>
      </c>
      <c r="L429"/>
      <c r="M429"/>
    </row>
    <row r="430" spans="1:13" x14ac:dyDescent="0.45">
      <c r="A430" s="2" t="s">
        <v>56</v>
      </c>
      <c r="B430" s="2" t="s">
        <v>7</v>
      </c>
      <c r="C430" s="2" t="s">
        <v>8</v>
      </c>
      <c r="D430" s="2" t="s">
        <v>3</v>
      </c>
      <c r="E430" s="2" t="s">
        <v>14</v>
      </c>
      <c r="F430" s="2" t="s">
        <v>5</v>
      </c>
      <c r="G430" s="2">
        <v>2012</v>
      </c>
      <c r="H430" s="2">
        <v>38879.599999999999</v>
      </c>
      <c r="I430" s="2">
        <v>25267.5</v>
      </c>
      <c r="J430" s="2">
        <v>13627.2</v>
      </c>
      <c r="L430"/>
      <c r="M430"/>
    </row>
    <row r="431" spans="1:13" x14ac:dyDescent="0.45">
      <c r="A431" s="2" t="s">
        <v>424</v>
      </c>
      <c r="B431" s="2" t="s">
        <v>1</v>
      </c>
      <c r="C431" s="2" t="s">
        <v>8</v>
      </c>
      <c r="D431" s="2" t="s">
        <v>3</v>
      </c>
      <c r="E431" s="2" t="s">
        <v>4</v>
      </c>
      <c r="F431" s="2" t="s">
        <v>5</v>
      </c>
      <c r="G431" s="2">
        <v>2001</v>
      </c>
      <c r="H431" s="2">
        <v>9084.9</v>
      </c>
      <c r="I431" s="2">
        <v>4560.6000000000004</v>
      </c>
      <c r="J431" s="2">
        <v>4524.3</v>
      </c>
      <c r="L431"/>
      <c r="M431"/>
    </row>
    <row r="432" spans="1:13" x14ac:dyDescent="0.45">
      <c r="A432" s="2" t="s">
        <v>345</v>
      </c>
      <c r="B432" s="2" t="s">
        <v>1</v>
      </c>
      <c r="C432" s="2" t="s">
        <v>8</v>
      </c>
      <c r="D432" s="2" t="s">
        <v>11</v>
      </c>
      <c r="E432" s="2" t="s">
        <v>12</v>
      </c>
      <c r="F432" s="2" t="s">
        <v>5</v>
      </c>
      <c r="G432" s="2">
        <v>2006</v>
      </c>
      <c r="H432" s="2">
        <v>10933.4</v>
      </c>
      <c r="I432" s="2">
        <v>10905.7</v>
      </c>
      <c r="J432" s="2">
        <v>38</v>
      </c>
      <c r="L432"/>
      <c r="M432"/>
    </row>
    <row r="433" spans="1:13" x14ac:dyDescent="0.45">
      <c r="A433" s="2" t="s">
        <v>238</v>
      </c>
      <c r="B433" s="2" t="s">
        <v>1</v>
      </c>
      <c r="C433" s="2" t="s">
        <v>81</v>
      </c>
      <c r="D433" s="2" t="s">
        <v>3</v>
      </c>
      <c r="E433" s="2" t="s">
        <v>38</v>
      </c>
      <c r="F433" s="2" t="s">
        <v>5</v>
      </c>
      <c r="G433" s="2">
        <v>2008</v>
      </c>
      <c r="H433" s="2">
        <v>14387.1</v>
      </c>
      <c r="I433" s="2">
        <v>13232.8</v>
      </c>
      <c r="J433" s="2">
        <v>1165.4000000000001</v>
      </c>
      <c r="L433"/>
      <c r="M433"/>
    </row>
    <row r="434" spans="1:13" x14ac:dyDescent="0.45">
      <c r="A434" s="2" t="s">
        <v>444</v>
      </c>
      <c r="B434" s="2" t="s">
        <v>1</v>
      </c>
      <c r="C434" s="2" t="s">
        <v>58</v>
      </c>
      <c r="D434" s="2" t="s">
        <v>59</v>
      </c>
      <c r="E434" s="2" t="s">
        <v>60</v>
      </c>
      <c r="F434" s="2" t="s">
        <v>5</v>
      </c>
      <c r="G434" s="2">
        <v>2015</v>
      </c>
      <c r="H434" s="2">
        <v>8733</v>
      </c>
      <c r="I434" s="2">
        <v>2987.7</v>
      </c>
      <c r="J434" s="2">
        <v>5745.3</v>
      </c>
      <c r="L434"/>
      <c r="M434"/>
    </row>
    <row r="435" spans="1:13" x14ac:dyDescent="0.45">
      <c r="A435" s="2" t="s">
        <v>160</v>
      </c>
      <c r="B435" s="2" t="s">
        <v>7</v>
      </c>
      <c r="C435" s="2" t="s">
        <v>2</v>
      </c>
      <c r="D435" s="2" t="s">
        <v>3</v>
      </c>
      <c r="E435" s="2" t="s">
        <v>9</v>
      </c>
      <c r="F435" s="2" t="s">
        <v>5</v>
      </c>
      <c r="G435" s="2">
        <v>2017</v>
      </c>
      <c r="H435" s="2">
        <v>18707.3</v>
      </c>
      <c r="I435" s="2">
        <v>16893.7</v>
      </c>
      <c r="J435" s="2">
        <v>1823.3</v>
      </c>
      <c r="L435"/>
      <c r="M435"/>
    </row>
    <row r="436" spans="1:13" x14ac:dyDescent="0.45">
      <c r="A436" s="2" t="s">
        <v>6</v>
      </c>
      <c r="B436" s="2" t="s">
        <v>7</v>
      </c>
      <c r="C436" s="2" t="s">
        <v>8</v>
      </c>
      <c r="D436" s="2" t="s">
        <v>3</v>
      </c>
      <c r="E436" s="2" t="s">
        <v>9</v>
      </c>
      <c r="F436" s="2" t="s">
        <v>5</v>
      </c>
      <c r="G436" s="2">
        <v>2006</v>
      </c>
      <c r="H436" s="2">
        <v>127861</v>
      </c>
      <c r="I436" s="2">
        <v>126177.3</v>
      </c>
      <c r="J436" s="2">
        <v>1683.8</v>
      </c>
      <c r="L436"/>
      <c r="M436"/>
    </row>
    <row r="437" spans="1:13" x14ac:dyDescent="0.45">
      <c r="A437" s="2" t="s">
        <v>420</v>
      </c>
      <c r="B437" s="2" t="s">
        <v>1</v>
      </c>
      <c r="C437" s="2" t="s">
        <v>8</v>
      </c>
      <c r="D437" s="2" t="s">
        <v>3</v>
      </c>
      <c r="E437" s="2" t="s">
        <v>9</v>
      </c>
      <c r="F437" s="2" t="s">
        <v>5</v>
      </c>
      <c r="G437" s="2">
        <v>2019</v>
      </c>
      <c r="H437" s="2">
        <v>9177.5</v>
      </c>
      <c r="I437" s="2">
        <v>7949</v>
      </c>
      <c r="J437" s="2">
        <v>1236.7</v>
      </c>
      <c r="L437"/>
      <c r="M437"/>
    </row>
    <row r="438" spans="1:13" x14ac:dyDescent="0.45">
      <c r="A438" s="2" t="s">
        <v>362</v>
      </c>
      <c r="B438" s="2" t="s">
        <v>1</v>
      </c>
      <c r="C438" s="2" t="s">
        <v>20</v>
      </c>
      <c r="D438" s="2" t="s">
        <v>3</v>
      </c>
      <c r="E438" s="2" t="s">
        <v>38</v>
      </c>
      <c r="F438" s="2" t="s">
        <v>35</v>
      </c>
      <c r="G438" s="2">
        <v>2012</v>
      </c>
      <c r="H438" s="2">
        <v>10489.6</v>
      </c>
      <c r="I438" s="2">
        <v>10191.700000000001</v>
      </c>
      <c r="J438" s="2">
        <v>301.5</v>
      </c>
      <c r="L438"/>
      <c r="M438"/>
    </row>
    <row r="439" spans="1:13" x14ac:dyDescent="0.45">
      <c r="A439" s="2" t="s">
        <v>105</v>
      </c>
      <c r="B439" s="2" t="s">
        <v>1</v>
      </c>
      <c r="C439" s="2" t="s">
        <v>20</v>
      </c>
      <c r="D439" s="2" t="s">
        <v>3</v>
      </c>
      <c r="E439" s="2" t="s">
        <v>38</v>
      </c>
      <c r="F439" s="2" t="s">
        <v>35</v>
      </c>
      <c r="G439" s="2">
        <v>1962</v>
      </c>
      <c r="H439" s="2">
        <v>26130.5</v>
      </c>
      <c r="I439" s="2">
        <v>26138.7</v>
      </c>
      <c r="J439" s="2">
        <v>2.2000000000000002</v>
      </c>
      <c r="L439"/>
      <c r="M439"/>
    </row>
    <row r="440" spans="1:13" x14ac:dyDescent="0.45">
      <c r="A440" s="2" t="s">
        <v>121</v>
      </c>
      <c r="B440" s="2" t="s">
        <v>1</v>
      </c>
      <c r="C440" s="2" t="s">
        <v>8</v>
      </c>
      <c r="D440" s="2" t="s">
        <v>3</v>
      </c>
      <c r="E440" s="2" t="s">
        <v>47</v>
      </c>
      <c r="F440" s="2" t="s">
        <v>35</v>
      </c>
      <c r="G440" s="2">
        <v>2012</v>
      </c>
      <c r="H440" s="2">
        <v>23845.1</v>
      </c>
      <c r="I440" s="2">
        <v>22661.5</v>
      </c>
      <c r="J440" s="2">
        <v>1189.8</v>
      </c>
      <c r="L440"/>
      <c r="M440"/>
    </row>
    <row r="441" spans="1:13" x14ac:dyDescent="0.45">
      <c r="A441" s="2" t="s">
        <v>576</v>
      </c>
      <c r="B441" s="2" t="s">
        <v>1</v>
      </c>
      <c r="C441" s="2" t="s">
        <v>20</v>
      </c>
      <c r="D441" s="2" t="s">
        <v>3</v>
      </c>
      <c r="E441" s="2" t="s">
        <v>38</v>
      </c>
      <c r="F441" s="2" t="s">
        <v>35</v>
      </c>
      <c r="G441" s="2">
        <v>1979</v>
      </c>
      <c r="H441" s="2">
        <v>7034.1</v>
      </c>
      <c r="I441" s="2">
        <v>7035</v>
      </c>
      <c r="J441" s="2">
        <v>3.3</v>
      </c>
      <c r="L441"/>
      <c r="M441"/>
    </row>
    <row r="442" spans="1:13" x14ac:dyDescent="0.45">
      <c r="A442" s="2" t="s">
        <v>212</v>
      </c>
      <c r="B442" s="2" t="s">
        <v>1</v>
      </c>
      <c r="C442" s="2" t="s">
        <v>81</v>
      </c>
      <c r="D442" s="2" t="s">
        <v>3</v>
      </c>
      <c r="E442" s="2" t="s">
        <v>4</v>
      </c>
      <c r="F442" s="2" t="s">
        <v>5</v>
      </c>
      <c r="G442" s="2">
        <v>2018</v>
      </c>
      <c r="H442" s="2">
        <v>15561.7</v>
      </c>
      <c r="I442" s="2">
        <v>10487.9</v>
      </c>
      <c r="J442" s="2">
        <v>5077.6000000000004</v>
      </c>
      <c r="L442"/>
      <c r="M442"/>
    </row>
    <row r="443" spans="1:13" x14ac:dyDescent="0.45">
      <c r="A443" s="2" t="s">
        <v>352</v>
      </c>
      <c r="B443" s="2" t="s">
        <v>1</v>
      </c>
      <c r="C443" s="2" t="s">
        <v>8</v>
      </c>
      <c r="D443" s="2" t="s">
        <v>3</v>
      </c>
      <c r="E443" s="2" t="s">
        <v>38</v>
      </c>
      <c r="F443" s="2" t="s">
        <v>35</v>
      </c>
      <c r="G443" s="2">
        <v>2004</v>
      </c>
      <c r="H443" s="2">
        <v>10767.6</v>
      </c>
      <c r="I443" s="2">
        <v>1893.8</v>
      </c>
      <c r="J443" s="2">
        <v>8878.2000000000007</v>
      </c>
      <c r="L443"/>
      <c r="M443"/>
    </row>
    <row r="444" spans="1:13" x14ac:dyDescent="0.45">
      <c r="A444" s="2" t="s">
        <v>403</v>
      </c>
      <c r="B444" s="2" t="s">
        <v>1</v>
      </c>
      <c r="C444" s="2" t="s">
        <v>8</v>
      </c>
      <c r="D444" s="2" t="s">
        <v>3</v>
      </c>
      <c r="E444" s="2" t="s">
        <v>259</v>
      </c>
      <c r="F444" s="2" t="s">
        <v>35</v>
      </c>
      <c r="G444" s="2">
        <v>2012</v>
      </c>
      <c r="H444" s="2">
        <v>9666.1</v>
      </c>
      <c r="I444" s="2">
        <v>9207.9</v>
      </c>
      <c r="J444" s="2">
        <v>460.8</v>
      </c>
      <c r="L444"/>
      <c r="M444"/>
    </row>
    <row r="445" spans="1:13" x14ac:dyDescent="0.45">
      <c r="A445" s="2" t="s">
        <v>577</v>
      </c>
      <c r="B445" s="2" t="s">
        <v>65</v>
      </c>
      <c r="C445" s="2" t="s">
        <v>8</v>
      </c>
      <c r="D445" s="2" t="s">
        <v>3</v>
      </c>
      <c r="E445" s="2" t="s">
        <v>9</v>
      </c>
      <c r="F445" s="2" t="s">
        <v>35</v>
      </c>
      <c r="G445" s="2">
        <v>2017</v>
      </c>
      <c r="H445" s="2">
        <v>7029.1</v>
      </c>
      <c r="I445" s="2">
        <v>5774.4</v>
      </c>
      <c r="J445" s="2">
        <v>1261.4000000000001</v>
      </c>
      <c r="L445"/>
      <c r="M445"/>
    </row>
    <row r="446" spans="1:13" x14ac:dyDescent="0.45">
      <c r="A446" s="2" t="s">
        <v>150</v>
      </c>
      <c r="B446" s="2" t="s">
        <v>1</v>
      </c>
      <c r="C446" s="2" t="s">
        <v>8</v>
      </c>
      <c r="D446" s="2" t="s">
        <v>3</v>
      </c>
      <c r="E446" s="2" t="s">
        <v>44</v>
      </c>
      <c r="F446" s="2" t="s">
        <v>35</v>
      </c>
      <c r="G446" s="2">
        <v>2011</v>
      </c>
      <c r="H446" s="2">
        <v>19440.5</v>
      </c>
      <c r="I446" s="2">
        <v>19435.599999999999</v>
      </c>
      <c r="J446" s="2">
        <v>14.3</v>
      </c>
      <c r="L446"/>
      <c r="M446"/>
    </row>
    <row r="447" spans="1:13" x14ac:dyDescent="0.45">
      <c r="A447" s="2" t="s">
        <v>343</v>
      </c>
      <c r="B447" s="2" t="s">
        <v>1</v>
      </c>
      <c r="C447" s="2" t="s">
        <v>8</v>
      </c>
      <c r="D447" s="2" t="s">
        <v>3</v>
      </c>
      <c r="E447" s="2" t="s">
        <v>4</v>
      </c>
      <c r="F447" s="2" t="s">
        <v>5</v>
      </c>
      <c r="G447" s="2">
        <v>1993</v>
      </c>
      <c r="H447" s="2">
        <v>10968.8</v>
      </c>
      <c r="I447" s="2">
        <v>5006.3999999999996</v>
      </c>
      <c r="J447" s="2">
        <v>5977.1</v>
      </c>
      <c r="L447"/>
      <c r="M447"/>
    </row>
    <row r="448" spans="1:13" x14ac:dyDescent="0.45">
      <c r="A448" s="2" t="s">
        <v>472</v>
      </c>
      <c r="B448" s="2" t="s">
        <v>1</v>
      </c>
      <c r="C448" s="2" t="s">
        <v>8</v>
      </c>
      <c r="D448" s="2" t="s">
        <v>3</v>
      </c>
      <c r="E448" s="2" t="s">
        <v>38</v>
      </c>
      <c r="F448" s="2" t="s">
        <v>35</v>
      </c>
      <c r="G448" s="2">
        <v>1989</v>
      </c>
      <c r="H448" s="2">
        <v>8330.4</v>
      </c>
      <c r="I448" s="2">
        <v>8328.6</v>
      </c>
      <c r="J448" s="2">
        <v>5.6</v>
      </c>
      <c r="L448"/>
      <c r="M448"/>
    </row>
    <row r="449" spans="1:13" x14ac:dyDescent="0.45">
      <c r="A449" s="2" t="s">
        <v>500</v>
      </c>
      <c r="B449" s="2" t="s">
        <v>1</v>
      </c>
      <c r="C449" s="2" t="s">
        <v>20</v>
      </c>
      <c r="D449" s="2" t="s">
        <v>3</v>
      </c>
      <c r="E449" s="2" t="s">
        <v>38</v>
      </c>
      <c r="F449" s="2" t="s">
        <v>35</v>
      </c>
      <c r="G449" s="2">
        <v>1977</v>
      </c>
      <c r="H449" s="2">
        <v>7976.6</v>
      </c>
      <c r="I449" s="2">
        <v>7980.4</v>
      </c>
      <c r="J449" s="2">
        <v>0.6</v>
      </c>
      <c r="L449"/>
      <c r="M449"/>
    </row>
    <row r="450" spans="1:13" x14ac:dyDescent="0.45">
      <c r="A450" s="2" t="s">
        <v>296</v>
      </c>
      <c r="B450" s="2" t="s">
        <v>1</v>
      </c>
      <c r="C450" s="2" t="s">
        <v>20</v>
      </c>
      <c r="D450" s="2" t="s">
        <v>3</v>
      </c>
      <c r="E450" s="2" t="s">
        <v>38</v>
      </c>
      <c r="F450" s="2" t="s">
        <v>35</v>
      </c>
      <c r="G450" s="2">
        <v>1964</v>
      </c>
      <c r="H450" s="2">
        <v>12566.2</v>
      </c>
      <c r="I450" s="2">
        <v>4905.7</v>
      </c>
      <c r="J450" s="2">
        <v>7658.9</v>
      </c>
      <c r="L450"/>
      <c r="M450"/>
    </row>
    <row r="451" spans="1:13" x14ac:dyDescent="0.45">
      <c r="A451" s="2" t="s">
        <v>458</v>
      </c>
      <c r="B451" s="2" t="s">
        <v>1</v>
      </c>
      <c r="C451" s="2" t="s">
        <v>191</v>
      </c>
      <c r="D451" s="2" t="s">
        <v>3</v>
      </c>
      <c r="E451" s="2" t="s">
        <v>38</v>
      </c>
      <c r="F451" s="2" t="s">
        <v>35</v>
      </c>
      <c r="G451" s="2">
        <v>2008</v>
      </c>
      <c r="H451" s="2">
        <v>8509.5</v>
      </c>
      <c r="I451" s="2">
        <v>8483.9</v>
      </c>
      <c r="J451" s="2">
        <v>29.2</v>
      </c>
      <c r="L451"/>
      <c r="M451"/>
    </row>
    <row r="452" spans="1:13" x14ac:dyDescent="0.45">
      <c r="A452" s="2" t="s">
        <v>498</v>
      </c>
      <c r="B452" s="2" t="s">
        <v>1</v>
      </c>
      <c r="C452" s="2" t="s">
        <v>20</v>
      </c>
      <c r="D452" s="2" t="s">
        <v>3</v>
      </c>
      <c r="E452" s="2" t="s">
        <v>38</v>
      </c>
      <c r="F452" s="2" t="s">
        <v>35</v>
      </c>
      <c r="G452" s="2">
        <v>1983</v>
      </c>
      <c r="H452" s="2">
        <v>8014.7</v>
      </c>
      <c r="I452" s="2">
        <v>8019.1</v>
      </c>
      <c r="J452" s="2">
        <v>0</v>
      </c>
      <c r="L452"/>
      <c r="M452"/>
    </row>
    <row r="453" spans="1:13" x14ac:dyDescent="0.45">
      <c r="A453" s="2" t="s">
        <v>502</v>
      </c>
      <c r="B453" s="2" t="s">
        <v>1</v>
      </c>
      <c r="C453" s="2" t="s">
        <v>8</v>
      </c>
      <c r="D453" s="2" t="s">
        <v>3</v>
      </c>
      <c r="E453" s="2" t="s">
        <v>38</v>
      </c>
      <c r="F453" s="2" t="s">
        <v>35</v>
      </c>
      <c r="G453" s="2">
        <v>2001</v>
      </c>
      <c r="H453" s="2">
        <v>7934.8</v>
      </c>
      <c r="I453" s="2">
        <v>4641.5</v>
      </c>
      <c r="J453" s="2">
        <v>3299.4</v>
      </c>
      <c r="L453"/>
      <c r="M453"/>
    </row>
    <row r="454" spans="1:13" x14ac:dyDescent="0.45">
      <c r="A454" s="2" t="s">
        <v>13</v>
      </c>
      <c r="B454" s="2" t="s">
        <v>1</v>
      </c>
      <c r="C454" s="2" t="s">
        <v>2</v>
      </c>
      <c r="D454" s="2" t="s">
        <v>3</v>
      </c>
      <c r="E454" s="2" t="s">
        <v>14</v>
      </c>
      <c r="F454" s="2" t="s">
        <v>5</v>
      </c>
      <c r="G454" s="2">
        <v>2009</v>
      </c>
      <c r="H454" s="2">
        <v>95703.2</v>
      </c>
      <c r="I454" s="2">
        <v>77189.399999999994</v>
      </c>
      <c r="J454" s="2">
        <v>18513.8</v>
      </c>
      <c r="L454"/>
      <c r="M454"/>
    </row>
    <row r="455" spans="1:13" x14ac:dyDescent="0.45">
      <c r="A455" s="2" t="s">
        <v>554</v>
      </c>
      <c r="B455" s="2" t="s">
        <v>1</v>
      </c>
      <c r="C455" s="2" t="s">
        <v>8</v>
      </c>
      <c r="D455" s="2" t="s">
        <v>3</v>
      </c>
      <c r="E455" s="2" t="s">
        <v>85</v>
      </c>
      <c r="F455" s="2" t="s">
        <v>5</v>
      </c>
      <c r="G455" s="2">
        <v>2012</v>
      </c>
      <c r="H455" s="2">
        <v>7337.5</v>
      </c>
      <c r="I455" s="2">
        <v>3928</v>
      </c>
      <c r="J455" s="2">
        <v>3422.3</v>
      </c>
      <c r="L455"/>
      <c r="M455"/>
    </row>
    <row r="456" spans="1:13" x14ac:dyDescent="0.45">
      <c r="A456" s="2" t="s">
        <v>484</v>
      </c>
      <c r="B456" s="2" t="s">
        <v>1</v>
      </c>
      <c r="C456" s="2" t="s">
        <v>2</v>
      </c>
      <c r="D456" s="2" t="s">
        <v>3</v>
      </c>
      <c r="E456" s="2" t="s">
        <v>38</v>
      </c>
      <c r="F456" s="2" t="s">
        <v>35</v>
      </c>
      <c r="G456" s="2">
        <v>2003</v>
      </c>
      <c r="H456" s="2">
        <v>8203</v>
      </c>
      <c r="I456" s="2">
        <v>7983.1</v>
      </c>
      <c r="J456" s="2">
        <v>224.9</v>
      </c>
      <c r="L456"/>
      <c r="M456"/>
    </row>
    <row r="457" spans="1:13" x14ac:dyDescent="0.45">
      <c r="A457" s="2" t="s">
        <v>551</v>
      </c>
      <c r="B457" s="2" t="s">
        <v>1</v>
      </c>
      <c r="C457" s="2" t="s">
        <v>209</v>
      </c>
      <c r="D457" s="2" t="s">
        <v>11</v>
      </c>
      <c r="E457" s="2" t="s">
        <v>4</v>
      </c>
      <c r="F457" s="2" t="s">
        <v>5</v>
      </c>
      <c r="G457" s="2">
        <v>2018</v>
      </c>
      <c r="H457" s="2">
        <v>7377.9</v>
      </c>
      <c r="I457" s="2">
        <v>4274.5</v>
      </c>
      <c r="J457" s="2">
        <v>3113.3</v>
      </c>
      <c r="L457"/>
      <c r="M457"/>
    </row>
    <row r="458" spans="1:13" x14ac:dyDescent="0.45">
      <c r="A458" s="2" t="s">
        <v>167</v>
      </c>
      <c r="B458" s="2" t="s">
        <v>1</v>
      </c>
      <c r="C458" s="2" t="s">
        <v>168</v>
      </c>
      <c r="D458" s="2" t="s">
        <v>3</v>
      </c>
      <c r="E458" s="2" t="s">
        <v>47</v>
      </c>
      <c r="F458" s="2" t="s">
        <v>5</v>
      </c>
      <c r="G458" s="2">
        <v>1994</v>
      </c>
      <c r="H458" s="2">
        <v>18217.099999999999</v>
      </c>
      <c r="I458" s="2">
        <v>13653.1</v>
      </c>
      <c r="J458" s="2">
        <v>4569.1000000000004</v>
      </c>
      <c r="L458"/>
      <c r="M458"/>
    </row>
    <row r="459" spans="1:13" x14ac:dyDescent="0.45">
      <c r="A459" s="2" t="s">
        <v>401</v>
      </c>
      <c r="B459" s="2" t="s">
        <v>1</v>
      </c>
      <c r="C459" s="2" t="s">
        <v>8</v>
      </c>
      <c r="D459" s="2" t="s">
        <v>3</v>
      </c>
      <c r="E459" s="2" t="s">
        <v>4</v>
      </c>
      <c r="F459" s="2" t="s">
        <v>5</v>
      </c>
      <c r="G459" s="2">
        <v>1997</v>
      </c>
      <c r="H459" s="2">
        <v>9734</v>
      </c>
      <c r="I459" s="2">
        <v>4314.3</v>
      </c>
      <c r="J459" s="2">
        <v>5425.4</v>
      </c>
      <c r="L459"/>
      <c r="M459"/>
    </row>
    <row r="460" spans="1:13" x14ac:dyDescent="0.45">
      <c r="A460" s="2" t="s">
        <v>459</v>
      </c>
      <c r="B460" s="2" t="s">
        <v>7</v>
      </c>
      <c r="C460" s="2" t="s">
        <v>209</v>
      </c>
      <c r="D460" s="2" t="s">
        <v>11</v>
      </c>
      <c r="E460" s="2" t="s">
        <v>9</v>
      </c>
      <c r="F460" s="2" t="s">
        <v>5</v>
      </c>
      <c r="G460" s="2">
        <v>2016</v>
      </c>
      <c r="H460" s="2">
        <v>8507.9</v>
      </c>
      <c r="I460" s="2">
        <v>5811.9</v>
      </c>
      <c r="J460" s="2">
        <v>2696</v>
      </c>
      <c r="L460"/>
      <c r="M460"/>
    </row>
    <row r="461" spans="1:13" x14ac:dyDescent="0.45">
      <c r="A461" s="2" t="s">
        <v>242</v>
      </c>
      <c r="B461" s="2" t="s">
        <v>1</v>
      </c>
      <c r="C461" s="2" t="s">
        <v>76</v>
      </c>
      <c r="D461" s="2" t="s">
        <v>11</v>
      </c>
      <c r="E461" s="2" t="s">
        <v>77</v>
      </c>
      <c r="F461" s="2" t="s">
        <v>5</v>
      </c>
      <c r="G461" s="2">
        <v>2023</v>
      </c>
      <c r="H461" s="2">
        <v>14166.6</v>
      </c>
      <c r="I461" s="2">
        <v>7969.4</v>
      </c>
      <c r="J461" s="2">
        <v>6215.6</v>
      </c>
      <c r="L461"/>
      <c r="M461"/>
    </row>
    <row r="462" spans="1:13" x14ac:dyDescent="0.45">
      <c r="A462" s="2" t="s">
        <v>552</v>
      </c>
      <c r="B462" s="2" t="s">
        <v>1</v>
      </c>
      <c r="C462" s="2" t="s">
        <v>20</v>
      </c>
      <c r="D462" s="2" t="s">
        <v>3</v>
      </c>
      <c r="E462" s="2" t="s">
        <v>9</v>
      </c>
      <c r="F462" s="2" t="s">
        <v>5</v>
      </c>
      <c r="G462" s="2">
        <v>2012</v>
      </c>
      <c r="H462" s="2">
        <v>7352.6</v>
      </c>
      <c r="I462" s="2">
        <v>3894</v>
      </c>
      <c r="J462" s="2">
        <v>3483.8</v>
      </c>
      <c r="L462"/>
      <c r="M462"/>
    </row>
    <row r="463" spans="1:13" x14ac:dyDescent="0.45">
      <c r="A463" s="2" t="s">
        <v>568</v>
      </c>
      <c r="B463" s="2" t="s">
        <v>1</v>
      </c>
      <c r="C463" s="2" t="s">
        <v>32</v>
      </c>
      <c r="D463" s="2" t="s">
        <v>33</v>
      </c>
      <c r="E463" s="2" t="s">
        <v>34</v>
      </c>
      <c r="F463" s="2" t="s">
        <v>35</v>
      </c>
      <c r="G463" s="2">
        <v>2019</v>
      </c>
      <c r="H463" s="2">
        <v>7182.1</v>
      </c>
      <c r="I463" s="2">
        <v>6877.5</v>
      </c>
      <c r="J463" s="2">
        <v>304.7</v>
      </c>
      <c r="L463"/>
      <c r="M463"/>
    </row>
    <row r="464" spans="1:13" x14ac:dyDescent="0.45">
      <c r="A464" s="2" t="s">
        <v>201</v>
      </c>
      <c r="B464" s="2" t="s">
        <v>1</v>
      </c>
      <c r="C464" s="2" t="s">
        <v>2</v>
      </c>
      <c r="D464" s="2" t="s">
        <v>3</v>
      </c>
      <c r="E464" s="2" t="s">
        <v>4</v>
      </c>
      <c r="F464" s="2" t="s">
        <v>5</v>
      </c>
      <c r="G464" s="2">
        <v>2009</v>
      </c>
      <c r="H464" s="2">
        <v>16021.1</v>
      </c>
      <c r="I464" s="2">
        <v>11602.1</v>
      </c>
      <c r="J464" s="2">
        <v>4424.8</v>
      </c>
      <c r="L464"/>
      <c r="M464"/>
    </row>
    <row r="465" spans="1:13" x14ac:dyDescent="0.45">
      <c r="A465" s="2" t="s">
        <v>439</v>
      </c>
      <c r="B465" s="2" t="s">
        <v>7</v>
      </c>
      <c r="C465" s="2" t="s">
        <v>134</v>
      </c>
      <c r="D465" s="2" t="s">
        <v>3</v>
      </c>
      <c r="E465" s="2" t="s">
        <v>9</v>
      </c>
      <c r="F465" s="2" t="s">
        <v>5</v>
      </c>
      <c r="G465" s="2">
        <v>2006</v>
      </c>
      <c r="H465" s="2">
        <v>8809.4</v>
      </c>
      <c r="I465" s="2">
        <v>5689.4</v>
      </c>
      <c r="J465" s="2">
        <v>3122.8</v>
      </c>
      <c r="L465"/>
      <c r="M465"/>
    </row>
    <row r="466" spans="1:13" x14ac:dyDescent="0.45">
      <c r="A466" s="2" t="s">
        <v>330</v>
      </c>
      <c r="B466" s="2" t="s">
        <v>1</v>
      </c>
      <c r="C466" s="2" t="s">
        <v>8</v>
      </c>
      <c r="D466" s="2" t="s">
        <v>3</v>
      </c>
      <c r="E466" s="2" t="s">
        <v>14</v>
      </c>
      <c r="F466" s="2" t="s">
        <v>5</v>
      </c>
      <c r="G466" s="2">
        <v>2005</v>
      </c>
      <c r="H466" s="2">
        <v>11238.2</v>
      </c>
      <c r="I466" s="2">
        <v>4609.5</v>
      </c>
      <c r="J466" s="2">
        <v>6628.7</v>
      </c>
      <c r="L466"/>
      <c r="M466"/>
    </row>
    <row r="467" spans="1:13" x14ac:dyDescent="0.45">
      <c r="A467" s="2" t="s">
        <v>17</v>
      </c>
      <c r="B467" s="2" t="s">
        <v>1</v>
      </c>
      <c r="C467" s="2" t="s">
        <v>8</v>
      </c>
      <c r="D467" s="2" t="s">
        <v>3</v>
      </c>
      <c r="E467" s="2" t="s">
        <v>4</v>
      </c>
      <c r="F467" s="2" t="s">
        <v>5</v>
      </c>
      <c r="G467" s="2">
        <v>2013</v>
      </c>
      <c r="H467" s="2">
        <v>65349.7</v>
      </c>
      <c r="I467" s="2">
        <v>35338.699999999997</v>
      </c>
      <c r="J467" s="2">
        <v>30027</v>
      </c>
      <c r="L467"/>
      <c r="M467"/>
    </row>
    <row r="468" spans="1:13" x14ac:dyDescent="0.45">
      <c r="A468" s="2" t="s">
        <v>159</v>
      </c>
      <c r="B468" s="2" t="s">
        <v>1</v>
      </c>
      <c r="C468" s="2" t="s">
        <v>8</v>
      </c>
      <c r="D468" s="2" t="s">
        <v>3</v>
      </c>
      <c r="E468" s="2" t="s">
        <v>4</v>
      </c>
      <c r="F468" s="2" t="s">
        <v>5</v>
      </c>
      <c r="G468" s="2">
        <v>2016</v>
      </c>
      <c r="H468" s="2">
        <v>18889.599999999999</v>
      </c>
      <c r="I468" s="2">
        <v>11762.8</v>
      </c>
      <c r="J468" s="2">
        <v>7126.8</v>
      </c>
      <c r="L468"/>
      <c r="M468"/>
    </row>
    <row r="469" spans="1:13" x14ac:dyDescent="0.45">
      <c r="A469" s="2" t="s">
        <v>367</v>
      </c>
      <c r="B469" s="2" t="s">
        <v>1</v>
      </c>
      <c r="C469" s="2" t="s">
        <v>368</v>
      </c>
      <c r="D469" s="2" t="s">
        <v>3</v>
      </c>
      <c r="E469" s="2" t="s">
        <v>9</v>
      </c>
      <c r="F469" s="2" t="s">
        <v>5</v>
      </c>
      <c r="G469" s="2">
        <v>2006</v>
      </c>
      <c r="H469" s="2">
        <v>10332.799999999999</v>
      </c>
      <c r="I469" s="2">
        <v>7323</v>
      </c>
      <c r="J469" s="2">
        <v>3009.8</v>
      </c>
      <c r="L469"/>
      <c r="M469"/>
    </row>
    <row r="470" spans="1:13" x14ac:dyDescent="0.45">
      <c r="A470" s="2" t="s">
        <v>443</v>
      </c>
      <c r="B470" s="2" t="s">
        <v>1</v>
      </c>
      <c r="C470" s="2" t="s">
        <v>8</v>
      </c>
      <c r="D470" s="2" t="s">
        <v>3</v>
      </c>
      <c r="E470" s="2" t="s">
        <v>9</v>
      </c>
      <c r="F470" s="2" t="s">
        <v>35</v>
      </c>
      <c r="G470" s="2">
        <v>2010</v>
      </c>
      <c r="H470" s="2">
        <v>8779.9</v>
      </c>
      <c r="I470" s="2">
        <v>7850.9</v>
      </c>
      <c r="J470" s="2">
        <v>932.8</v>
      </c>
      <c r="L470"/>
      <c r="M470"/>
    </row>
    <row r="471" spans="1:13" x14ac:dyDescent="0.45">
      <c r="A471" s="2" t="s">
        <v>124</v>
      </c>
      <c r="B471" s="2" t="s">
        <v>1</v>
      </c>
      <c r="C471" s="2" t="s">
        <v>8</v>
      </c>
      <c r="D471" s="2" t="s">
        <v>3</v>
      </c>
      <c r="E471" s="2" t="s">
        <v>44</v>
      </c>
      <c r="F471" s="2" t="s">
        <v>35</v>
      </c>
      <c r="G471" s="2">
        <v>2009</v>
      </c>
      <c r="H471" s="2">
        <v>22475.8</v>
      </c>
      <c r="I471" s="2">
        <v>22215.200000000001</v>
      </c>
      <c r="J471" s="2">
        <v>269.10000000000002</v>
      </c>
      <c r="L471"/>
      <c r="M471"/>
    </row>
    <row r="472" spans="1:13" x14ac:dyDescent="0.45">
      <c r="A472" s="2" t="s">
        <v>289</v>
      </c>
      <c r="B472" s="2" t="s">
        <v>7</v>
      </c>
      <c r="C472" s="2" t="s">
        <v>32</v>
      </c>
      <c r="D472" s="2" t="s">
        <v>33</v>
      </c>
      <c r="E472" s="2" t="s">
        <v>34</v>
      </c>
      <c r="F472" s="2" t="s">
        <v>35</v>
      </c>
      <c r="G472" s="2">
        <v>2015</v>
      </c>
      <c r="H472" s="2">
        <v>12716.2</v>
      </c>
      <c r="I472" s="2">
        <v>2648.7</v>
      </c>
      <c r="J472" s="2">
        <v>10073.4</v>
      </c>
      <c r="L472"/>
      <c r="M472"/>
    </row>
    <row r="473" spans="1:13" x14ac:dyDescent="0.45">
      <c r="A473" s="2" t="s">
        <v>104</v>
      </c>
      <c r="B473" s="2" t="s">
        <v>1</v>
      </c>
      <c r="C473" s="2" t="s">
        <v>8</v>
      </c>
      <c r="D473" s="2" t="s">
        <v>3</v>
      </c>
      <c r="E473" s="2" t="s">
        <v>14</v>
      </c>
      <c r="F473" s="2" t="s">
        <v>5</v>
      </c>
      <c r="G473" s="2">
        <v>2011</v>
      </c>
      <c r="H473" s="2">
        <v>26465.200000000001</v>
      </c>
      <c r="I473" s="2">
        <v>5073.8</v>
      </c>
      <c r="J473" s="2">
        <v>21394.799999999999</v>
      </c>
      <c r="L473"/>
      <c r="M473"/>
    </row>
    <row r="474" spans="1:13" x14ac:dyDescent="0.45">
      <c r="A474" s="2" t="s">
        <v>172</v>
      </c>
      <c r="B474" s="2" t="s">
        <v>1</v>
      </c>
      <c r="C474" s="2" t="s">
        <v>8</v>
      </c>
      <c r="D474" s="2" t="s">
        <v>3</v>
      </c>
      <c r="E474" s="2" t="s">
        <v>4</v>
      </c>
      <c r="F474" s="2" t="s">
        <v>5</v>
      </c>
      <c r="G474" s="2">
        <v>2008</v>
      </c>
      <c r="H474" s="2">
        <v>18064.3</v>
      </c>
      <c r="I474" s="2">
        <v>7403</v>
      </c>
      <c r="J474" s="2">
        <v>10664.8</v>
      </c>
      <c r="L474"/>
      <c r="M474"/>
    </row>
    <row r="475" spans="1:13" x14ac:dyDescent="0.45">
      <c r="A475" s="2" t="s">
        <v>102</v>
      </c>
      <c r="B475" s="2" t="s">
        <v>1</v>
      </c>
      <c r="C475" s="2" t="s">
        <v>8</v>
      </c>
      <c r="D475" s="2" t="s">
        <v>3</v>
      </c>
      <c r="E475" s="2" t="s">
        <v>4</v>
      </c>
      <c r="F475" s="2" t="s">
        <v>5</v>
      </c>
      <c r="G475" s="2">
        <v>2009</v>
      </c>
      <c r="H475" s="2">
        <v>27125.8</v>
      </c>
      <c r="I475" s="2">
        <v>23925.9</v>
      </c>
      <c r="J475" s="2">
        <v>3208.7</v>
      </c>
      <c r="L475"/>
      <c r="M475"/>
    </row>
    <row r="476" spans="1:13" x14ac:dyDescent="0.45">
      <c r="A476" s="2" t="s">
        <v>359</v>
      </c>
      <c r="B476" s="2" t="s">
        <v>1</v>
      </c>
      <c r="C476" s="2" t="s">
        <v>191</v>
      </c>
      <c r="D476" s="2" t="s">
        <v>3</v>
      </c>
      <c r="E476" s="2" t="s">
        <v>38</v>
      </c>
      <c r="F476" s="2" t="s">
        <v>35</v>
      </c>
      <c r="G476" s="2">
        <v>1979</v>
      </c>
      <c r="H476" s="2">
        <v>10616.1</v>
      </c>
      <c r="I476" s="2">
        <v>10020.5</v>
      </c>
      <c r="J476" s="2">
        <v>599.29999999999995</v>
      </c>
      <c r="L476"/>
      <c r="M476"/>
    </row>
    <row r="477" spans="1:13" x14ac:dyDescent="0.45">
      <c r="A477" s="2" t="s">
        <v>487</v>
      </c>
      <c r="B477" s="2" t="s">
        <v>1</v>
      </c>
      <c r="C477" s="2" t="s">
        <v>488</v>
      </c>
      <c r="D477" s="2" t="s">
        <v>59</v>
      </c>
      <c r="E477" s="2" t="s">
        <v>60</v>
      </c>
      <c r="F477" s="2" t="s">
        <v>5</v>
      </c>
      <c r="G477" s="2">
        <v>1980</v>
      </c>
      <c r="H477" s="2">
        <v>8186.9</v>
      </c>
      <c r="I477" s="2">
        <v>3408.5</v>
      </c>
      <c r="J477" s="2">
        <v>4789.5</v>
      </c>
      <c r="L477"/>
      <c r="M477"/>
    </row>
    <row r="478" spans="1:13" x14ac:dyDescent="0.45">
      <c r="A478" s="2" t="s">
        <v>164</v>
      </c>
      <c r="B478" s="2" t="s">
        <v>1</v>
      </c>
      <c r="C478" s="2" t="s">
        <v>8</v>
      </c>
      <c r="D478" s="2" t="s">
        <v>3</v>
      </c>
      <c r="E478" s="2" t="s">
        <v>14</v>
      </c>
      <c r="F478" s="2" t="s">
        <v>5</v>
      </c>
      <c r="G478" s="2">
        <v>1994</v>
      </c>
      <c r="H478" s="2">
        <v>18413.2</v>
      </c>
      <c r="I478" s="2">
        <v>12525.4</v>
      </c>
      <c r="J478" s="2">
        <v>5896.3</v>
      </c>
      <c r="L478"/>
      <c r="M478"/>
    </row>
    <row r="479" spans="1:13" x14ac:dyDescent="0.45">
      <c r="A479" s="2" t="s">
        <v>491</v>
      </c>
      <c r="B479" s="2" t="s">
        <v>1</v>
      </c>
      <c r="C479" s="2" t="s">
        <v>81</v>
      </c>
      <c r="D479" s="2" t="s">
        <v>3</v>
      </c>
      <c r="E479" s="2" t="s">
        <v>259</v>
      </c>
      <c r="F479" s="2" t="s">
        <v>5</v>
      </c>
      <c r="G479" s="2">
        <v>2013</v>
      </c>
      <c r="H479" s="2">
        <v>8092.2</v>
      </c>
      <c r="I479" s="2">
        <v>7918.7</v>
      </c>
      <c r="J479" s="2">
        <v>176.9</v>
      </c>
      <c r="L479"/>
      <c r="M479"/>
    </row>
    <row r="480" spans="1:13" x14ac:dyDescent="0.45">
      <c r="A480" s="2" t="s">
        <v>483</v>
      </c>
      <c r="B480" s="2" t="s">
        <v>1</v>
      </c>
      <c r="C480" s="2" t="s">
        <v>76</v>
      </c>
      <c r="D480" s="2" t="s">
        <v>11</v>
      </c>
      <c r="E480" s="2" t="s">
        <v>77</v>
      </c>
      <c r="F480" s="2" t="s">
        <v>5</v>
      </c>
      <c r="G480" s="2">
        <v>1966</v>
      </c>
      <c r="H480" s="2">
        <v>8205.4</v>
      </c>
      <c r="I480" s="2">
        <v>8009</v>
      </c>
      <c r="J480" s="2">
        <v>204.5</v>
      </c>
      <c r="L480"/>
      <c r="M480"/>
    </row>
    <row r="481" spans="1:13" x14ac:dyDescent="0.45">
      <c r="A481" s="2" t="s">
        <v>377</v>
      </c>
      <c r="B481" s="2" t="s">
        <v>1</v>
      </c>
      <c r="C481" s="2" t="s">
        <v>58</v>
      </c>
      <c r="D481" s="2" t="s">
        <v>59</v>
      </c>
      <c r="E481" s="2" t="s">
        <v>60</v>
      </c>
      <c r="F481" s="2" t="s">
        <v>35</v>
      </c>
      <c r="G481" s="2">
        <v>1999</v>
      </c>
      <c r="H481" s="2">
        <v>10165</v>
      </c>
      <c r="I481" s="2">
        <v>8858.9</v>
      </c>
      <c r="J481" s="2">
        <v>1312.6</v>
      </c>
      <c r="L481"/>
      <c r="M481"/>
    </row>
    <row r="482" spans="1:13" x14ac:dyDescent="0.45">
      <c r="A482" s="2" t="s">
        <v>529</v>
      </c>
      <c r="B482" s="2" t="s">
        <v>1</v>
      </c>
      <c r="C482" s="2" t="s">
        <v>153</v>
      </c>
      <c r="D482" s="2" t="s">
        <v>154</v>
      </c>
      <c r="E482" s="2" t="s">
        <v>69</v>
      </c>
      <c r="F482" s="2" t="s">
        <v>5</v>
      </c>
      <c r="G482" s="2">
        <v>2003</v>
      </c>
      <c r="H482" s="2">
        <v>7618.8</v>
      </c>
      <c r="I482" s="2">
        <v>5257.8</v>
      </c>
      <c r="J482" s="2">
        <v>2361</v>
      </c>
      <c r="L482"/>
      <c r="M482"/>
    </row>
    <row r="483" spans="1:13" x14ac:dyDescent="0.45">
      <c r="A483" s="2" t="s">
        <v>438</v>
      </c>
      <c r="B483" s="2" t="s">
        <v>7</v>
      </c>
      <c r="C483" s="2" t="s">
        <v>8</v>
      </c>
      <c r="D483" s="2" t="s">
        <v>3</v>
      </c>
      <c r="E483" s="2" t="s">
        <v>14</v>
      </c>
      <c r="F483" s="2" t="s">
        <v>5</v>
      </c>
      <c r="G483" s="2">
        <v>1985</v>
      </c>
      <c r="H483" s="2">
        <v>8828.7999999999993</v>
      </c>
      <c r="I483" s="2">
        <v>7564.4</v>
      </c>
      <c r="J483" s="2">
        <v>1267.8</v>
      </c>
      <c r="L483"/>
      <c r="M483"/>
    </row>
    <row r="484" spans="1:13" x14ac:dyDescent="0.45">
      <c r="A484" s="2" t="s">
        <v>272</v>
      </c>
      <c r="B484" s="2" t="s">
        <v>1</v>
      </c>
      <c r="C484" s="2" t="s">
        <v>8</v>
      </c>
      <c r="D484" s="2" t="s">
        <v>11</v>
      </c>
      <c r="E484" s="2" t="s">
        <v>12</v>
      </c>
      <c r="F484" s="2" t="s">
        <v>5</v>
      </c>
      <c r="G484" s="2">
        <v>2000</v>
      </c>
      <c r="H484" s="2">
        <v>13273.4</v>
      </c>
      <c r="I484" s="2">
        <v>4702.2</v>
      </c>
      <c r="J484" s="2">
        <v>8580.5</v>
      </c>
      <c r="L484"/>
      <c r="M484"/>
    </row>
    <row r="485" spans="1:13" x14ac:dyDescent="0.45">
      <c r="A485" s="2" t="s">
        <v>267</v>
      </c>
      <c r="B485" s="2" t="s">
        <v>1</v>
      </c>
      <c r="C485" s="2" t="s">
        <v>8</v>
      </c>
      <c r="D485" s="2" t="s">
        <v>11</v>
      </c>
      <c r="E485" s="2" t="s">
        <v>12</v>
      </c>
      <c r="F485" s="2" t="s">
        <v>35</v>
      </c>
      <c r="G485" s="2">
        <v>1998</v>
      </c>
      <c r="H485" s="2">
        <v>13323.2</v>
      </c>
      <c r="I485" s="2">
        <v>8971.1</v>
      </c>
      <c r="J485" s="2">
        <v>4360.5</v>
      </c>
      <c r="L485"/>
      <c r="M485"/>
    </row>
    <row r="486" spans="1:13" x14ac:dyDescent="0.45">
      <c r="A486" s="2" t="s">
        <v>110</v>
      </c>
      <c r="B486" s="2" t="s">
        <v>1</v>
      </c>
      <c r="C486" s="2" t="s">
        <v>8</v>
      </c>
      <c r="D486" s="2" t="s">
        <v>3</v>
      </c>
      <c r="E486" s="2" t="s">
        <v>4</v>
      </c>
      <c r="F486" s="2" t="s">
        <v>5</v>
      </c>
      <c r="G486" s="2">
        <v>2006</v>
      </c>
      <c r="H486" s="2">
        <v>25289.9</v>
      </c>
      <c r="I486" s="2">
        <v>11748.9</v>
      </c>
      <c r="J486" s="2">
        <v>13549.3</v>
      </c>
      <c r="L486"/>
      <c r="M486"/>
    </row>
    <row r="487" spans="1:13" x14ac:dyDescent="0.45">
      <c r="A487" s="2" t="s">
        <v>334</v>
      </c>
      <c r="B487" s="2" t="s">
        <v>1</v>
      </c>
      <c r="C487" s="2" t="s">
        <v>335</v>
      </c>
      <c r="D487" s="2" t="s">
        <v>3</v>
      </c>
      <c r="E487" s="2" t="s">
        <v>336</v>
      </c>
      <c r="F487" s="2" t="s">
        <v>5</v>
      </c>
      <c r="G487" s="2">
        <v>2011</v>
      </c>
      <c r="H487" s="2">
        <v>11149</v>
      </c>
      <c r="I487" s="2">
        <v>3260</v>
      </c>
      <c r="J487" s="2">
        <v>7882.2</v>
      </c>
      <c r="L487"/>
      <c r="M487"/>
    </row>
    <row r="488" spans="1:13" x14ac:dyDescent="0.45">
      <c r="A488" s="2" t="s">
        <v>52</v>
      </c>
      <c r="B488" s="2" t="s">
        <v>1</v>
      </c>
      <c r="C488" s="2" t="s">
        <v>8</v>
      </c>
      <c r="D488" s="2" t="s">
        <v>3</v>
      </c>
      <c r="E488" s="2" t="s">
        <v>4</v>
      </c>
      <c r="F488" s="2" t="s">
        <v>5</v>
      </c>
      <c r="G488" s="2">
        <v>2013</v>
      </c>
      <c r="H488" s="2">
        <v>40411.300000000003</v>
      </c>
      <c r="I488" s="2">
        <v>34419.9</v>
      </c>
      <c r="J488" s="2">
        <v>5998.9</v>
      </c>
      <c r="L488"/>
      <c r="M488"/>
    </row>
    <row r="489" spans="1:13" x14ac:dyDescent="0.45">
      <c r="A489" s="2" t="s">
        <v>282</v>
      </c>
      <c r="B489" s="2" t="s">
        <v>1</v>
      </c>
      <c r="C489" s="2" t="s">
        <v>8</v>
      </c>
      <c r="D489" s="2" t="s">
        <v>11</v>
      </c>
      <c r="E489" s="2" t="s">
        <v>12</v>
      </c>
      <c r="F489" s="2" t="s">
        <v>5</v>
      </c>
      <c r="G489" s="2">
        <v>2003</v>
      </c>
      <c r="H489" s="2">
        <v>12929.7</v>
      </c>
      <c r="I489" s="2">
        <v>5938.5</v>
      </c>
      <c r="J489" s="2">
        <v>6997.8</v>
      </c>
      <c r="L489"/>
      <c r="M489"/>
    </row>
    <row r="490" spans="1:13" x14ac:dyDescent="0.45">
      <c r="A490" s="2" t="s">
        <v>380</v>
      </c>
      <c r="B490" s="2" t="s">
        <v>1</v>
      </c>
      <c r="C490" s="2" t="s">
        <v>8</v>
      </c>
      <c r="D490" s="2" t="s">
        <v>3</v>
      </c>
      <c r="E490" s="2" t="s">
        <v>4</v>
      </c>
      <c r="F490" s="2" t="s">
        <v>5</v>
      </c>
      <c r="G490" s="2">
        <v>2015</v>
      </c>
      <c r="H490" s="2">
        <v>10141.700000000001</v>
      </c>
      <c r="I490" s="2">
        <v>9084.2000000000007</v>
      </c>
      <c r="J490" s="2">
        <v>1067.9000000000001</v>
      </c>
      <c r="L490"/>
      <c r="M490"/>
    </row>
    <row r="491" spans="1:13" x14ac:dyDescent="0.45">
      <c r="A491" s="2" t="s">
        <v>412</v>
      </c>
      <c r="B491" s="2" t="s">
        <v>1</v>
      </c>
      <c r="C491" s="2" t="s">
        <v>8</v>
      </c>
      <c r="D491" s="2" t="s">
        <v>3</v>
      </c>
      <c r="E491" s="2" t="s">
        <v>4</v>
      </c>
      <c r="F491" s="2" t="s">
        <v>5</v>
      </c>
      <c r="G491" s="2">
        <v>2008</v>
      </c>
      <c r="H491" s="2">
        <v>9362.2999999999993</v>
      </c>
      <c r="I491" s="2">
        <v>4260.1000000000004</v>
      </c>
      <c r="J491" s="2">
        <v>5102.2</v>
      </c>
      <c r="L491"/>
      <c r="M491"/>
    </row>
    <row r="492" spans="1:13" x14ac:dyDescent="0.45">
      <c r="A492" s="2" t="s">
        <v>572</v>
      </c>
      <c r="B492" s="2" t="s">
        <v>1</v>
      </c>
      <c r="C492" s="2" t="s">
        <v>8</v>
      </c>
      <c r="D492" s="2" t="s">
        <v>3</v>
      </c>
      <c r="E492" s="2" t="s">
        <v>4</v>
      </c>
      <c r="F492" s="2" t="s">
        <v>5</v>
      </c>
      <c r="G492" s="2">
        <v>2017</v>
      </c>
      <c r="H492" s="2">
        <v>7061.3</v>
      </c>
      <c r="I492" s="2">
        <v>7067.3</v>
      </c>
      <c r="J492" s="2">
        <v>0</v>
      </c>
      <c r="L492"/>
      <c r="M492"/>
    </row>
    <row r="493" spans="1:13" x14ac:dyDescent="0.45">
      <c r="A493" s="2" t="s">
        <v>86</v>
      </c>
      <c r="B493" s="2" t="s">
        <v>1</v>
      </c>
      <c r="C493" s="2" t="s">
        <v>8</v>
      </c>
      <c r="D493" s="2" t="s">
        <v>3</v>
      </c>
      <c r="E493" s="2" t="s">
        <v>4</v>
      </c>
      <c r="F493" s="2" t="s">
        <v>5</v>
      </c>
      <c r="G493" s="2">
        <v>2011</v>
      </c>
      <c r="H493" s="2">
        <v>30933.8</v>
      </c>
      <c r="I493" s="2">
        <v>10464.200000000001</v>
      </c>
      <c r="J493" s="2">
        <v>20472.3</v>
      </c>
      <c r="L493"/>
      <c r="M493"/>
    </row>
    <row r="494" spans="1:13" x14ac:dyDescent="0.45">
      <c r="A494" s="2" t="s">
        <v>141</v>
      </c>
      <c r="B494" s="2" t="s">
        <v>1</v>
      </c>
      <c r="C494" s="2" t="s">
        <v>8</v>
      </c>
      <c r="D494" s="2" t="s">
        <v>3</v>
      </c>
      <c r="E494" s="2" t="s">
        <v>4</v>
      </c>
      <c r="F494" s="2" t="s">
        <v>5</v>
      </c>
      <c r="G494" s="2">
        <v>2015</v>
      </c>
      <c r="H494" s="2">
        <v>20138.099999999999</v>
      </c>
      <c r="I494" s="2">
        <v>15305.8</v>
      </c>
      <c r="J494" s="2">
        <v>4841.7</v>
      </c>
      <c r="L494"/>
      <c r="M494"/>
    </row>
    <row r="495" spans="1:13" x14ac:dyDescent="0.45">
      <c r="A495" s="2" t="s">
        <v>145</v>
      </c>
      <c r="B495" s="2" t="s">
        <v>1</v>
      </c>
      <c r="C495" s="2" t="s">
        <v>8</v>
      </c>
      <c r="D495" s="2" t="s">
        <v>3</v>
      </c>
      <c r="E495" s="2" t="s">
        <v>85</v>
      </c>
      <c r="F495" s="2" t="s">
        <v>5</v>
      </c>
      <c r="G495" s="2">
        <v>2019</v>
      </c>
      <c r="H495" s="2">
        <v>19727.2</v>
      </c>
      <c r="I495" s="2">
        <v>19690.8</v>
      </c>
      <c r="J495" s="2">
        <v>47.3</v>
      </c>
      <c r="L495"/>
      <c r="M495"/>
    </row>
    <row r="496" spans="1:13" x14ac:dyDescent="0.45">
      <c r="A496" s="2" t="s">
        <v>241</v>
      </c>
      <c r="B496" s="2" t="s">
        <v>7</v>
      </c>
      <c r="C496" s="2" t="s">
        <v>134</v>
      </c>
      <c r="D496" s="2" t="s">
        <v>3</v>
      </c>
      <c r="E496" s="2" t="s">
        <v>9</v>
      </c>
      <c r="F496" s="2" t="s">
        <v>5</v>
      </c>
      <c r="G496" s="2">
        <v>2008</v>
      </c>
      <c r="H496" s="2">
        <v>14221.3</v>
      </c>
      <c r="I496" s="2">
        <v>9372.1</v>
      </c>
      <c r="J496" s="2">
        <v>4858.7</v>
      </c>
      <c r="L496"/>
      <c r="M496"/>
    </row>
    <row r="497" spans="1:13" x14ac:dyDescent="0.45">
      <c r="A497" s="2" t="s">
        <v>292</v>
      </c>
      <c r="B497" s="2" t="s">
        <v>1</v>
      </c>
      <c r="C497" s="2" t="s">
        <v>20</v>
      </c>
      <c r="D497" s="2" t="s">
        <v>3</v>
      </c>
      <c r="E497" s="2" t="s">
        <v>9</v>
      </c>
      <c r="F497" s="2" t="s">
        <v>5</v>
      </c>
      <c r="G497" s="2">
        <v>2010</v>
      </c>
      <c r="H497" s="2">
        <v>12650.8</v>
      </c>
      <c r="I497" s="2">
        <v>11398.2</v>
      </c>
      <c r="J497" s="2">
        <v>1255.5</v>
      </c>
      <c r="L497"/>
      <c r="M497"/>
    </row>
    <row r="498" spans="1:13" x14ac:dyDescent="0.45">
      <c r="A498" s="2" t="s">
        <v>346</v>
      </c>
      <c r="B498" s="2" t="s">
        <v>1</v>
      </c>
      <c r="C498" s="2" t="s">
        <v>153</v>
      </c>
      <c r="D498" s="2" t="s">
        <v>154</v>
      </c>
      <c r="E498" s="2" t="s">
        <v>155</v>
      </c>
      <c r="F498" s="2" t="s">
        <v>35</v>
      </c>
      <c r="G498" s="2">
        <v>2011</v>
      </c>
      <c r="H498" s="2">
        <v>10914.2</v>
      </c>
      <c r="I498" s="2">
        <v>9203.4</v>
      </c>
      <c r="J498" s="2">
        <v>1721.9</v>
      </c>
      <c r="L498"/>
      <c r="M498"/>
    </row>
    <row r="499" spans="1:13" x14ac:dyDescent="0.45">
      <c r="A499" s="2" t="s">
        <v>323</v>
      </c>
      <c r="B499" s="2" t="s">
        <v>1</v>
      </c>
      <c r="C499" s="2" t="s">
        <v>324</v>
      </c>
      <c r="D499" s="2" t="s">
        <v>3</v>
      </c>
      <c r="E499" s="2" t="s">
        <v>47</v>
      </c>
      <c r="F499" s="2" t="s">
        <v>5</v>
      </c>
      <c r="G499" s="2">
        <v>2010</v>
      </c>
      <c r="H499" s="2">
        <v>11481.4</v>
      </c>
      <c r="I499" s="2">
        <v>11486.5</v>
      </c>
      <c r="J499" s="2">
        <v>0</v>
      </c>
      <c r="L499"/>
      <c r="M499"/>
    </row>
    <row r="500" spans="1:13" x14ac:dyDescent="0.45">
      <c r="A500" s="2" t="s">
        <v>526</v>
      </c>
      <c r="B500" s="2" t="s">
        <v>1</v>
      </c>
      <c r="C500" s="2" t="s">
        <v>8</v>
      </c>
      <c r="D500" s="2" t="s">
        <v>11</v>
      </c>
      <c r="E500" s="2" t="s">
        <v>12</v>
      </c>
      <c r="F500" s="2" t="s">
        <v>5</v>
      </c>
      <c r="G500" s="2">
        <v>2004</v>
      </c>
      <c r="H500" s="2">
        <v>7661.6</v>
      </c>
      <c r="I500" s="2">
        <v>1713.9</v>
      </c>
      <c r="J500" s="2">
        <v>5947.7</v>
      </c>
      <c r="L500"/>
      <c r="M500"/>
    </row>
    <row r="501" spans="1:13" x14ac:dyDescent="0.45">
      <c r="A501" s="2" t="s">
        <v>286</v>
      </c>
      <c r="B501" s="2" t="s">
        <v>1</v>
      </c>
      <c r="C501" s="2" t="s">
        <v>8</v>
      </c>
      <c r="D501" s="2" t="s">
        <v>11</v>
      </c>
      <c r="E501" s="2" t="s">
        <v>12</v>
      </c>
      <c r="F501" s="2" t="s">
        <v>35</v>
      </c>
      <c r="G501" s="2">
        <v>2000</v>
      </c>
      <c r="H501" s="2">
        <v>12799.8</v>
      </c>
      <c r="I501" s="2">
        <v>5018.3999999999996</v>
      </c>
      <c r="J501" s="2">
        <v>7786.4</v>
      </c>
      <c r="L501"/>
      <c r="M501"/>
    </row>
    <row r="502" spans="1:13" x14ac:dyDescent="0.45">
      <c r="L502"/>
      <c r="M502"/>
    </row>
    <row r="503" spans="1:13" x14ac:dyDescent="0.45">
      <c r="L503"/>
      <c r="M503"/>
    </row>
    <row r="504" spans="1:13" x14ac:dyDescent="0.45">
      <c r="L504"/>
      <c r="M504"/>
    </row>
    <row r="505" spans="1:13" x14ac:dyDescent="0.45">
      <c r="L505"/>
      <c r="M505"/>
    </row>
    <row r="506" spans="1:13" x14ac:dyDescent="0.45">
      <c r="L506"/>
      <c r="M506"/>
    </row>
    <row r="507" spans="1:13" x14ac:dyDescent="0.45">
      <c r="L507"/>
      <c r="M507"/>
    </row>
    <row r="508" spans="1:13" x14ac:dyDescent="0.45">
      <c r="L508"/>
      <c r="M508"/>
    </row>
    <row r="509" spans="1:13" x14ac:dyDescent="0.45">
      <c r="L509"/>
      <c r="M509"/>
    </row>
    <row r="510" spans="1:13" x14ac:dyDescent="0.45">
      <c r="L510"/>
      <c r="M510"/>
    </row>
    <row r="511" spans="1:13" x14ac:dyDescent="0.45">
      <c r="L511"/>
      <c r="M511"/>
    </row>
    <row r="512" spans="1:13" x14ac:dyDescent="0.45">
      <c r="L512"/>
      <c r="M512"/>
    </row>
    <row r="513" spans="12:13" x14ac:dyDescent="0.45">
      <c r="L513"/>
      <c r="M513"/>
    </row>
    <row r="514" spans="12:13" x14ac:dyDescent="0.45">
      <c r="L514"/>
      <c r="M514"/>
    </row>
    <row r="515" spans="12:13" x14ac:dyDescent="0.45">
      <c r="L515"/>
      <c r="M515"/>
    </row>
    <row r="516" spans="12:13" x14ac:dyDescent="0.45">
      <c r="L516"/>
      <c r="M516"/>
    </row>
    <row r="517" spans="12:13" x14ac:dyDescent="0.45">
      <c r="L517"/>
      <c r="M517"/>
    </row>
    <row r="518" spans="12:13" x14ac:dyDescent="0.45">
      <c r="L518"/>
      <c r="M518"/>
    </row>
    <row r="519" spans="12:13" x14ac:dyDescent="0.45">
      <c r="L519"/>
      <c r="M519"/>
    </row>
    <row r="520" spans="12:13" x14ac:dyDescent="0.45">
      <c r="L520"/>
      <c r="M520"/>
    </row>
    <row r="521" spans="12:13" x14ac:dyDescent="0.45">
      <c r="L521"/>
      <c r="M521"/>
    </row>
    <row r="522" spans="12:13" x14ac:dyDescent="0.45">
      <c r="L522"/>
      <c r="M522"/>
    </row>
    <row r="523" spans="12:13" x14ac:dyDescent="0.45">
      <c r="L523"/>
      <c r="M523"/>
    </row>
    <row r="524" spans="12:13" x14ac:dyDescent="0.45">
      <c r="L524"/>
      <c r="M524"/>
    </row>
    <row r="525" spans="12:13" x14ac:dyDescent="0.45">
      <c r="L525"/>
      <c r="M525"/>
    </row>
    <row r="526" spans="12:13" x14ac:dyDescent="0.45">
      <c r="L526"/>
      <c r="M526"/>
    </row>
    <row r="527" spans="12:13" x14ac:dyDescent="0.45">
      <c r="L527"/>
      <c r="M527"/>
    </row>
    <row r="528" spans="12:13" x14ac:dyDescent="0.45">
      <c r="L528"/>
      <c r="M528"/>
    </row>
    <row r="529" spans="12:13" x14ac:dyDescent="0.45">
      <c r="L529"/>
      <c r="M529"/>
    </row>
    <row r="530" spans="12:13" x14ac:dyDescent="0.45">
      <c r="L530"/>
      <c r="M530"/>
    </row>
    <row r="531" spans="12:13" x14ac:dyDescent="0.45">
      <c r="L531"/>
      <c r="M531"/>
    </row>
    <row r="532" spans="12:13" x14ac:dyDescent="0.45">
      <c r="L532"/>
      <c r="M532"/>
    </row>
    <row r="533" spans="12:13" x14ac:dyDescent="0.45">
      <c r="L533"/>
      <c r="M533"/>
    </row>
    <row r="534" spans="12:13" x14ac:dyDescent="0.45">
      <c r="L534"/>
      <c r="M534"/>
    </row>
    <row r="535" spans="12:13" x14ac:dyDescent="0.45">
      <c r="L535"/>
      <c r="M535"/>
    </row>
    <row r="536" spans="12:13" x14ac:dyDescent="0.45">
      <c r="L536"/>
      <c r="M536"/>
    </row>
    <row r="537" spans="12:13" x14ac:dyDescent="0.45">
      <c r="L537"/>
      <c r="M537"/>
    </row>
    <row r="538" spans="12:13" x14ac:dyDescent="0.45">
      <c r="L538"/>
      <c r="M538"/>
    </row>
    <row r="539" spans="12:13" x14ac:dyDescent="0.45">
      <c r="L539"/>
      <c r="M539"/>
    </row>
    <row r="540" spans="12:13" x14ac:dyDescent="0.45">
      <c r="L540"/>
      <c r="M540"/>
    </row>
    <row r="541" spans="12:13" x14ac:dyDescent="0.45">
      <c r="L541"/>
      <c r="M541"/>
    </row>
    <row r="542" spans="12:13" x14ac:dyDescent="0.45">
      <c r="L542"/>
      <c r="M542"/>
    </row>
    <row r="543" spans="12:13" x14ac:dyDescent="0.45">
      <c r="L543"/>
      <c r="M543"/>
    </row>
    <row r="544" spans="12:13" x14ac:dyDescent="0.45">
      <c r="L544"/>
      <c r="M544"/>
    </row>
    <row r="545" spans="12:13" x14ac:dyDescent="0.45">
      <c r="L545"/>
      <c r="M545"/>
    </row>
    <row r="546" spans="12:13" x14ac:dyDescent="0.45">
      <c r="L546"/>
      <c r="M546"/>
    </row>
    <row r="547" spans="12:13" x14ac:dyDescent="0.45">
      <c r="L547"/>
      <c r="M547"/>
    </row>
    <row r="548" spans="12:13" x14ac:dyDescent="0.45">
      <c r="L548"/>
      <c r="M548"/>
    </row>
    <row r="549" spans="12:13" x14ac:dyDescent="0.45">
      <c r="L549"/>
      <c r="M549"/>
    </row>
    <row r="550" spans="12:13" x14ac:dyDescent="0.45">
      <c r="L550"/>
      <c r="M550"/>
    </row>
    <row r="551" spans="12:13" x14ac:dyDescent="0.45">
      <c r="L551"/>
      <c r="M551"/>
    </row>
    <row r="552" spans="12:13" x14ac:dyDescent="0.45">
      <c r="L552"/>
      <c r="M552"/>
    </row>
    <row r="553" spans="12:13" x14ac:dyDescent="0.45">
      <c r="L553"/>
      <c r="M553"/>
    </row>
    <row r="554" spans="12:13" x14ac:dyDescent="0.45">
      <c r="L554"/>
      <c r="M554"/>
    </row>
    <row r="555" spans="12:13" x14ac:dyDescent="0.45">
      <c r="L555"/>
      <c r="M555"/>
    </row>
    <row r="556" spans="12:13" x14ac:dyDescent="0.45">
      <c r="L556"/>
      <c r="M556"/>
    </row>
    <row r="557" spans="12:13" x14ac:dyDescent="0.45">
      <c r="L557"/>
      <c r="M557"/>
    </row>
    <row r="558" spans="12:13" x14ac:dyDescent="0.45">
      <c r="L558"/>
      <c r="M558"/>
    </row>
    <row r="559" spans="12:13" x14ac:dyDescent="0.45">
      <c r="L559"/>
      <c r="M559"/>
    </row>
    <row r="560" spans="12:13" x14ac:dyDescent="0.45">
      <c r="L560"/>
      <c r="M560"/>
    </row>
    <row r="561" spans="12:13" x14ac:dyDescent="0.45">
      <c r="L561"/>
      <c r="M561"/>
    </row>
    <row r="562" spans="12:13" x14ac:dyDescent="0.45">
      <c r="L562"/>
      <c r="M562"/>
    </row>
    <row r="563" spans="12:13" x14ac:dyDescent="0.45">
      <c r="L563"/>
      <c r="M563"/>
    </row>
    <row r="564" spans="12:13" x14ac:dyDescent="0.45">
      <c r="L564"/>
      <c r="M564"/>
    </row>
    <row r="565" spans="12:13" x14ac:dyDescent="0.45">
      <c r="L565"/>
      <c r="M565"/>
    </row>
    <row r="566" spans="12:13" x14ac:dyDescent="0.45">
      <c r="L566"/>
      <c r="M566"/>
    </row>
    <row r="567" spans="12:13" x14ac:dyDescent="0.45">
      <c r="L567"/>
      <c r="M567"/>
    </row>
    <row r="568" spans="12:13" x14ac:dyDescent="0.45">
      <c r="L568"/>
      <c r="M568"/>
    </row>
    <row r="569" spans="12:13" x14ac:dyDescent="0.45">
      <c r="L569"/>
      <c r="M569"/>
    </row>
    <row r="570" spans="12:13" x14ac:dyDescent="0.45">
      <c r="L570"/>
      <c r="M570"/>
    </row>
    <row r="571" spans="12:13" x14ac:dyDescent="0.45">
      <c r="L571"/>
      <c r="M571"/>
    </row>
    <row r="572" spans="12:13" x14ac:dyDescent="0.45">
      <c r="L572"/>
      <c r="M572"/>
    </row>
    <row r="573" spans="12:13" x14ac:dyDescent="0.45">
      <c r="L573"/>
      <c r="M573"/>
    </row>
    <row r="574" spans="12:13" x14ac:dyDescent="0.45">
      <c r="L574"/>
      <c r="M574"/>
    </row>
    <row r="575" spans="12:13" x14ac:dyDescent="0.45">
      <c r="L575"/>
      <c r="M575"/>
    </row>
    <row r="576" spans="12:13" x14ac:dyDescent="0.45">
      <c r="L576"/>
      <c r="M576"/>
    </row>
    <row r="577" spans="12:13" x14ac:dyDescent="0.45">
      <c r="L577"/>
      <c r="M577"/>
    </row>
    <row r="578" spans="12:13" x14ac:dyDescent="0.45">
      <c r="L578"/>
      <c r="M578"/>
    </row>
    <row r="579" spans="12:13" x14ac:dyDescent="0.45">
      <c r="L579"/>
      <c r="M579"/>
    </row>
    <row r="580" spans="12:13" x14ac:dyDescent="0.45">
      <c r="L580"/>
      <c r="M580"/>
    </row>
    <row r="581" spans="12:13" x14ac:dyDescent="0.45">
      <c r="L581"/>
      <c r="M581"/>
    </row>
    <row r="582" spans="12:13" x14ac:dyDescent="0.45">
      <c r="L582"/>
      <c r="M582"/>
    </row>
    <row r="583" spans="12:13" x14ac:dyDescent="0.45">
      <c r="L583"/>
      <c r="M583"/>
    </row>
    <row r="584" spans="12:13" x14ac:dyDescent="0.45">
      <c r="L584"/>
      <c r="M584"/>
    </row>
    <row r="585" spans="12:13" x14ac:dyDescent="0.45">
      <c r="L585"/>
      <c r="M585"/>
    </row>
    <row r="586" spans="12:13" x14ac:dyDescent="0.45">
      <c r="L586"/>
      <c r="M586"/>
    </row>
    <row r="587" spans="12:13" x14ac:dyDescent="0.45">
      <c r="L587"/>
      <c r="M587"/>
    </row>
    <row r="588" spans="12:13" x14ac:dyDescent="0.45">
      <c r="L588"/>
      <c r="M588"/>
    </row>
    <row r="589" spans="12:13" x14ac:dyDescent="0.45">
      <c r="L589"/>
      <c r="M589"/>
    </row>
    <row r="590" spans="12:13" x14ac:dyDescent="0.45">
      <c r="L590"/>
      <c r="M590"/>
    </row>
    <row r="591" spans="12:13" x14ac:dyDescent="0.45">
      <c r="L591"/>
      <c r="M591"/>
    </row>
    <row r="592" spans="12:13" x14ac:dyDescent="0.45">
      <c r="L592"/>
      <c r="M592"/>
    </row>
    <row r="593" spans="12:13" x14ac:dyDescent="0.45">
      <c r="L593"/>
      <c r="M593"/>
    </row>
    <row r="594" spans="12:13" x14ac:dyDescent="0.45">
      <c r="L594"/>
      <c r="M594"/>
    </row>
    <row r="595" spans="12:13" x14ac:dyDescent="0.45">
      <c r="L595"/>
      <c r="M595"/>
    </row>
    <row r="596" spans="12:13" x14ac:dyDescent="0.45">
      <c r="L596"/>
      <c r="M596"/>
    </row>
    <row r="597" spans="12:13" x14ac:dyDescent="0.45">
      <c r="L597"/>
      <c r="M597"/>
    </row>
    <row r="598" spans="12:13" x14ac:dyDescent="0.45">
      <c r="L598"/>
      <c r="M598"/>
    </row>
    <row r="599" spans="12:13" x14ac:dyDescent="0.45">
      <c r="L599"/>
      <c r="M599"/>
    </row>
    <row r="600" spans="12:13" x14ac:dyDescent="0.45">
      <c r="L600"/>
      <c r="M600"/>
    </row>
    <row r="601" spans="12:13" x14ac:dyDescent="0.45">
      <c r="L601"/>
      <c r="M601"/>
    </row>
    <row r="602" spans="12:13" x14ac:dyDescent="0.45">
      <c r="L602"/>
      <c r="M602"/>
    </row>
    <row r="603" spans="12:13" x14ac:dyDescent="0.45">
      <c r="L603"/>
      <c r="M603"/>
    </row>
    <row r="604" spans="12:13" x14ac:dyDescent="0.45">
      <c r="L604"/>
      <c r="M604"/>
    </row>
    <row r="605" spans="12:13" x14ac:dyDescent="0.45">
      <c r="L605"/>
      <c r="M605"/>
    </row>
    <row r="606" spans="12:13" x14ac:dyDescent="0.45">
      <c r="L606"/>
      <c r="M606"/>
    </row>
    <row r="607" spans="12:13" x14ac:dyDescent="0.45">
      <c r="L607"/>
      <c r="M607"/>
    </row>
    <row r="608" spans="12:13" x14ac:dyDescent="0.45">
      <c r="L608"/>
      <c r="M608"/>
    </row>
    <row r="609" spans="12:13" x14ac:dyDescent="0.45">
      <c r="L609"/>
      <c r="M609"/>
    </row>
    <row r="610" spans="12:13" x14ac:dyDescent="0.45">
      <c r="L610"/>
      <c r="M610"/>
    </row>
    <row r="611" spans="12:13" x14ac:dyDescent="0.45">
      <c r="L611"/>
      <c r="M611"/>
    </row>
    <row r="612" spans="12:13" x14ac:dyDescent="0.45">
      <c r="L612"/>
      <c r="M612"/>
    </row>
    <row r="613" spans="12:13" x14ac:dyDescent="0.45">
      <c r="L613"/>
      <c r="M613"/>
    </row>
    <row r="614" spans="12:13" x14ac:dyDescent="0.45">
      <c r="L614"/>
      <c r="M614"/>
    </row>
    <row r="615" spans="12:13" x14ac:dyDescent="0.45">
      <c r="L615"/>
      <c r="M615"/>
    </row>
    <row r="616" spans="12:13" x14ac:dyDescent="0.45">
      <c r="L616"/>
      <c r="M616"/>
    </row>
    <row r="617" spans="12:13" x14ac:dyDescent="0.45">
      <c r="L617"/>
      <c r="M617"/>
    </row>
    <row r="618" spans="12:13" x14ac:dyDescent="0.45">
      <c r="L618"/>
      <c r="M618"/>
    </row>
    <row r="619" spans="12:13" x14ac:dyDescent="0.45">
      <c r="L619"/>
      <c r="M619"/>
    </row>
    <row r="620" spans="12:13" x14ac:dyDescent="0.45">
      <c r="L620"/>
      <c r="M620"/>
    </row>
    <row r="621" spans="12:13" x14ac:dyDescent="0.45">
      <c r="L621"/>
      <c r="M621"/>
    </row>
    <row r="622" spans="12:13" x14ac:dyDescent="0.45">
      <c r="L622"/>
      <c r="M622"/>
    </row>
    <row r="623" spans="12:13" x14ac:dyDescent="0.45">
      <c r="L623"/>
      <c r="M623"/>
    </row>
    <row r="624" spans="12:13" x14ac:dyDescent="0.45">
      <c r="L624"/>
      <c r="M624"/>
    </row>
    <row r="625" spans="12:13" x14ac:dyDescent="0.45">
      <c r="L625"/>
      <c r="M625"/>
    </row>
    <row r="626" spans="12:13" x14ac:dyDescent="0.45">
      <c r="L626"/>
      <c r="M626"/>
    </row>
    <row r="627" spans="12:13" x14ac:dyDescent="0.45">
      <c r="L627"/>
      <c r="M627"/>
    </row>
    <row r="628" spans="12:13" x14ac:dyDescent="0.45">
      <c r="L628"/>
      <c r="M628"/>
    </row>
    <row r="629" spans="12:13" x14ac:dyDescent="0.45">
      <c r="L629"/>
      <c r="M629"/>
    </row>
    <row r="630" spans="12:13" x14ac:dyDescent="0.45">
      <c r="L630"/>
      <c r="M630"/>
    </row>
    <row r="631" spans="12:13" x14ac:dyDescent="0.45">
      <c r="L631"/>
      <c r="M631"/>
    </row>
    <row r="632" spans="12:13" x14ac:dyDescent="0.45">
      <c r="L632"/>
      <c r="M632"/>
    </row>
    <row r="633" spans="12:13" x14ac:dyDescent="0.45">
      <c r="L633"/>
      <c r="M633"/>
    </row>
    <row r="634" spans="12:13" x14ac:dyDescent="0.45">
      <c r="L634"/>
      <c r="M634"/>
    </row>
    <row r="635" spans="12:13" x14ac:dyDescent="0.45">
      <c r="L635"/>
      <c r="M635"/>
    </row>
    <row r="636" spans="12:13" x14ac:dyDescent="0.45">
      <c r="L636"/>
      <c r="M636"/>
    </row>
    <row r="637" spans="12:13" x14ac:dyDescent="0.45">
      <c r="L637"/>
      <c r="M637"/>
    </row>
    <row r="638" spans="12:13" x14ac:dyDescent="0.45">
      <c r="L638"/>
      <c r="M638"/>
    </row>
    <row r="639" spans="12:13" x14ac:dyDescent="0.45">
      <c r="L639"/>
      <c r="M639"/>
    </row>
    <row r="640" spans="12:13" x14ac:dyDescent="0.45">
      <c r="L640"/>
      <c r="M640"/>
    </row>
    <row r="641" spans="12:13" x14ac:dyDescent="0.45">
      <c r="L641"/>
      <c r="M641"/>
    </row>
    <row r="642" spans="12:13" x14ac:dyDescent="0.45">
      <c r="L642"/>
      <c r="M642"/>
    </row>
    <row r="643" spans="12:13" x14ac:dyDescent="0.45">
      <c r="L643"/>
      <c r="M643"/>
    </row>
    <row r="644" spans="12:13" x14ac:dyDescent="0.45">
      <c r="L644"/>
      <c r="M644"/>
    </row>
    <row r="645" spans="12:13" x14ac:dyDescent="0.45">
      <c r="L645"/>
      <c r="M645"/>
    </row>
    <row r="646" spans="12:13" x14ac:dyDescent="0.45">
      <c r="L646"/>
      <c r="M646"/>
    </row>
    <row r="647" spans="12:13" x14ac:dyDescent="0.45">
      <c r="L647"/>
      <c r="M647"/>
    </row>
    <row r="648" spans="12:13" x14ac:dyDescent="0.45">
      <c r="L648"/>
      <c r="M648"/>
    </row>
    <row r="649" spans="12:13" x14ac:dyDescent="0.45">
      <c r="L649"/>
      <c r="M649"/>
    </row>
    <row r="650" spans="12:13" x14ac:dyDescent="0.45">
      <c r="L650"/>
      <c r="M650"/>
    </row>
    <row r="651" spans="12:13" x14ac:dyDescent="0.45">
      <c r="L651"/>
      <c r="M651"/>
    </row>
    <row r="652" spans="12:13" x14ac:dyDescent="0.45">
      <c r="L652"/>
      <c r="M652"/>
    </row>
    <row r="653" spans="12:13" x14ac:dyDescent="0.45">
      <c r="L653"/>
      <c r="M653"/>
    </row>
    <row r="654" spans="12:13" x14ac:dyDescent="0.45">
      <c r="L654"/>
      <c r="M654"/>
    </row>
    <row r="655" spans="12:13" x14ac:dyDescent="0.45">
      <c r="L655"/>
      <c r="M655"/>
    </row>
    <row r="656" spans="12:13" x14ac:dyDescent="0.45">
      <c r="L656"/>
      <c r="M656"/>
    </row>
    <row r="657" spans="12:13" x14ac:dyDescent="0.45">
      <c r="L657"/>
      <c r="M657"/>
    </row>
    <row r="658" spans="12:13" x14ac:dyDescent="0.45">
      <c r="L658"/>
      <c r="M658"/>
    </row>
    <row r="659" spans="12:13" x14ac:dyDescent="0.45">
      <c r="L659"/>
      <c r="M659"/>
    </row>
    <row r="660" spans="12:13" x14ac:dyDescent="0.45">
      <c r="L660"/>
      <c r="M660"/>
    </row>
    <row r="661" spans="12:13" x14ac:dyDescent="0.45">
      <c r="L661"/>
      <c r="M661"/>
    </row>
    <row r="662" spans="12:13" x14ac:dyDescent="0.45">
      <c r="L662"/>
      <c r="M662"/>
    </row>
    <row r="663" spans="12:13" x14ac:dyDescent="0.45">
      <c r="L663"/>
      <c r="M663"/>
    </row>
    <row r="664" spans="12:13" x14ac:dyDescent="0.45">
      <c r="L664"/>
      <c r="M664"/>
    </row>
    <row r="665" spans="12:13" x14ac:dyDescent="0.45">
      <c r="L665"/>
      <c r="M665"/>
    </row>
    <row r="666" spans="12:13" x14ac:dyDescent="0.45">
      <c r="L666"/>
      <c r="M666"/>
    </row>
    <row r="667" spans="12:13" x14ac:dyDescent="0.45">
      <c r="L667"/>
      <c r="M667"/>
    </row>
    <row r="668" spans="12:13" x14ac:dyDescent="0.45">
      <c r="L668"/>
      <c r="M668"/>
    </row>
    <row r="669" spans="12:13" x14ac:dyDescent="0.45">
      <c r="L669"/>
      <c r="M669"/>
    </row>
    <row r="670" spans="12:13" x14ac:dyDescent="0.45">
      <c r="L670"/>
      <c r="M670"/>
    </row>
    <row r="671" spans="12:13" x14ac:dyDescent="0.45">
      <c r="L671"/>
      <c r="M671"/>
    </row>
    <row r="672" spans="12:13" x14ac:dyDescent="0.45">
      <c r="L672"/>
      <c r="M672"/>
    </row>
    <row r="673" spans="12:13" x14ac:dyDescent="0.45">
      <c r="L673"/>
      <c r="M673"/>
    </row>
    <row r="674" spans="12:13" x14ac:dyDescent="0.45">
      <c r="L674"/>
      <c r="M674"/>
    </row>
    <row r="675" spans="12:13" x14ac:dyDescent="0.45">
      <c r="L675"/>
      <c r="M675"/>
    </row>
    <row r="676" spans="12:13" x14ac:dyDescent="0.45">
      <c r="L676"/>
      <c r="M676"/>
    </row>
    <row r="677" spans="12:13" x14ac:dyDescent="0.45">
      <c r="L677"/>
      <c r="M677"/>
    </row>
    <row r="678" spans="12:13" x14ac:dyDescent="0.45">
      <c r="L678"/>
      <c r="M678"/>
    </row>
    <row r="679" spans="12:13" x14ac:dyDescent="0.45">
      <c r="L679"/>
      <c r="M679"/>
    </row>
    <row r="680" spans="12:13" x14ac:dyDescent="0.45">
      <c r="L680"/>
      <c r="M680"/>
    </row>
    <row r="681" spans="12:13" x14ac:dyDescent="0.45">
      <c r="L681"/>
      <c r="M681"/>
    </row>
    <row r="682" spans="12:13" x14ac:dyDescent="0.45">
      <c r="L682"/>
      <c r="M682"/>
    </row>
    <row r="683" spans="12:13" x14ac:dyDescent="0.45">
      <c r="L683"/>
      <c r="M683"/>
    </row>
    <row r="684" spans="12:13" x14ac:dyDescent="0.45">
      <c r="L684"/>
      <c r="M684"/>
    </row>
    <row r="685" spans="12:13" x14ac:dyDescent="0.45">
      <c r="L685"/>
      <c r="M685"/>
    </row>
    <row r="686" spans="12:13" x14ac:dyDescent="0.45">
      <c r="L686"/>
      <c r="M686"/>
    </row>
    <row r="687" spans="12:13" x14ac:dyDescent="0.45">
      <c r="L687"/>
      <c r="M687"/>
    </row>
    <row r="688" spans="12:13" x14ac:dyDescent="0.45">
      <c r="L688"/>
      <c r="M688"/>
    </row>
    <row r="689" spans="12:13" x14ac:dyDescent="0.45">
      <c r="L689"/>
      <c r="M689"/>
    </row>
    <row r="690" spans="12:13" x14ac:dyDescent="0.45">
      <c r="L690"/>
      <c r="M690"/>
    </row>
    <row r="691" spans="12:13" x14ac:dyDescent="0.45">
      <c r="L691"/>
      <c r="M691"/>
    </row>
    <row r="692" spans="12:13" x14ac:dyDescent="0.45">
      <c r="L692"/>
      <c r="M692"/>
    </row>
    <row r="693" spans="12:13" x14ac:dyDescent="0.45">
      <c r="L693"/>
      <c r="M693"/>
    </row>
    <row r="694" spans="12:13" x14ac:dyDescent="0.45">
      <c r="L694"/>
      <c r="M694"/>
    </row>
    <row r="695" spans="12:13" x14ac:dyDescent="0.45">
      <c r="L695"/>
      <c r="M695"/>
    </row>
    <row r="696" spans="12:13" x14ac:dyDescent="0.45">
      <c r="L696"/>
      <c r="M696"/>
    </row>
    <row r="697" spans="12:13" x14ac:dyDescent="0.45">
      <c r="L697"/>
      <c r="M697"/>
    </row>
    <row r="698" spans="12:13" x14ac:dyDescent="0.45">
      <c r="L698"/>
      <c r="M698"/>
    </row>
    <row r="699" spans="12:13" x14ac:dyDescent="0.45">
      <c r="L699"/>
      <c r="M699"/>
    </row>
    <row r="700" spans="12:13" x14ac:dyDescent="0.45">
      <c r="L700"/>
      <c r="M700"/>
    </row>
    <row r="701" spans="12:13" x14ac:dyDescent="0.45">
      <c r="L701"/>
      <c r="M701"/>
    </row>
    <row r="702" spans="12:13" x14ac:dyDescent="0.45">
      <c r="L702"/>
      <c r="M702"/>
    </row>
    <row r="703" spans="12:13" x14ac:dyDescent="0.45">
      <c r="L703"/>
      <c r="M703"/>
    </row>
    <row r="704" spans="12:13" x14ac:dyDescent="0.45">
      <c r="L704"/>
      <c r="M704"/>
    </row>
    <row r="705" spans="12:13" x14ac:dyDescent="0.45">
      <c r="L705"/>
      <c r="M705"/>
    </row>
    <row r="706" spans="12:13" x14ac:dyDescent="0.45">
      <c r="L706"/>
      <c r="M706"/>
    </row>
    <row r="707" spans="12:13" x14ac:dyDescent="0.45">
      <c r="L707"/>
      <c r="M707"/>
    </row>
    <row r="708" spans="12:13" x14ac:dyDescent="0.45">
      <c r="L708"/>
      <c r="M708"/>
    </row>
    <row r="709" spans="12:13" x14ac:dyDescent="0.45">
      <c r="L709"/>
      <c r="M709"/>
    </row>
    <row r="710" spans="12:13" x14ac:dyDescent="0.45">
      <c r="L710"/>
      <c r="M710"/>
    </row>
    <row r="711" spans="12:13" x14ac:dyDescent="0.45">
      <c r="L711"/>
      <c r="M711"/>
    </row>
    <row r="712" spans="12:13" x14ac:dyDescent="0.45">
      <c r="L712"/>
      <c r="M712"/>
    </row>
    <row r="713" spans="12:13" x14ac:dyDescent="0.45">
      <c r="L713"/>
      <c r="M713"/>
    </row>
    <row r="714" spans="12:13" x14ac:dyDescent="0.45">
      <c r="L714"/>
      <c r="M714"/>
    </row>
    <row r="715" spans="12:13" x14ac:dyDescent="0.45">
      <c r="L715"/>
      <c r="M715"/>
    </row>
    <row r="716" spans="12:13" x14ac:dyDescent="0.45">
      <c r="L716"/>
      <c r="M716"/>
    </row>
    <row r="717" spans="12:13" x14ac:dyDescent="0.45">
      <c r="L717"/>
      <c r="M717"/>
    </row>
    <row r="718" spans="12:13" x14ac:dyDescent="0.45">
      <c r="L718"/>
      <c r="M718"/>
    </row>
    <row r="719" spans="12:13" x14ac:dyDescent="0.45">
      <c r="L719"/>
      <c r="M719"/>
    </row>
    <row r="720" spans="12:13" x14ac:dyDescent="0.45">
      <c r="L720"/>
      <c r="M720"/>
    </row>
    <row r="721" spans="12:13" x14ac:dyDescent="0.45">
      <c r="L721"/>
      <c r="M721"/>
    </row>
    <row r="722" spans="12:13" x14ac:dyDescent="0.45">
      <c r="L722"/>
      <c r="M722"/>
    </row>
    <row r="723" spans="12:13" x14ac:dyDescent="0.45">
      <c r="L723"/>
      <c r="M723"/>
    </row>
    <row r="724" spans="12:13" x14ac:dyDescent="0.45">
      <c r="L724"/>
      <c r="M724"/>
    </row>
    <row r="725" spans="12:13" x14ac:dyDescent="0.45">
      <c r="L725"/>
      <c r="M725"/>
    </row>
    <row r="726" spans="12:13" x14ac:dyDescent="0.45">
      <c r="L726"/>
      <c r="M726"/>
    </row>
    <row r="727" spans="12:13" x14ac:dyDescent="0.45">
      <c r="L727"/>
      <c r="M727"/>
    </row>
    <row r="728" spans="12:13" x14ac:dyDescent="0.45">
      <c r="L728"/>
      <c r="M728"/>
    </row>
    <row r="729" spans="12:13" x14ac:dyDescent="0.45">
      <c r="L729"/>
      <c r="M729"/>
    </row>
    <row r="730" spans="12:13" x14ac:dyDescent="0.45">
      <c r="L730"/>
      <c r="M730"/>
    </row>
    <row r="731" spans="12:13" x14ac:dyDescent="0.45">
      <c r="L731"/>
      <c r="M731"/>
    </row>
    <row r="732" spans="12:13" x14ac:dyDescent="0.45">
      <c r="L732"/>
      <c r="M732"/>
    </row>
    <row r="733" spans="12:13" x14ac:dyDescent="0.45">
      <c r="L733"/>
      <c r="M733"/>
    </row>
    <row r="734" spans="12:13" x14ac:dyDescent="0.45">
      <c r="L734"/>
      <c r="M734"/>
    </row>
    <row r="735" spans="12:13" x14ac:dyDescent="0.45">
      <c r="L735"/>
      <c r="M735"/>
    </row>
    <row r="736" spans="12:13" x14ac:dyDescent="0.45">
      <c r="L736"/>
      <c r="M736"/>
    </row>
    <row r="737" spans="12:13" x14ac:dyDescent="0.45">
      <c r="L737"/>
      <c r="M737"/>
    </row>
    <row r="738" spans="12:13" x14ac:dyDescent="0.45">
      <c r="L738"/>
      <c r="M738"/>
    </row>
    <row r="739" spans="12:13" x14ac:dyDescent="0.45">
      <c r="L739"/>
      <c r="M739"/>
    </row>
    <row r="740" spans="12:13" x14ac:dyDescent="0.45">
      <c r="L740"/>
      <c r="M740"/>
    </row>
    <row r="741" spans="12:13" x14ac:dyDescent="0.45">
      <c r="L741"/>
      <c r="M741"/>
    </row>
    <row r="742" spans="12:13" x14ac:dyDescent="0.45">
      <c r="L742"/>
      <c r="M742"/>
    </row>
    <row r="743" spans="12:13" x14ac:dyDescent="0.45">
      <c r="L743"/>
      <c r="M743"/>
    </row>
    <row r="744" spans="12:13" x14ac:dyDescent="0.45">
      <c r="L744"/>
      <c r="M744"/>
    </row>
    <row r="745" spans="12:13" x14ac:dyDescent="0.45">
      <c r="L745"/>
      <c r="M745"/>
    </row>
    <row r="746" spans="12:13" x14ac:dyDescent="0.45">
      <c r="L746"/>
      <c r="M746"/>
    </row>
    <row r="747" spans="12:13" x14ac:dyDescent="0.45">
      <c r="L747"/>
      <c r="M747"/>
    </row>
    <row r="748" spans="12:13" x14ac:dyDescent="0.45">
      <c r="L748"/>
      <c r="M748"/>
    </row>
    <row r="749" spans="12:13" x14ac:dyDescent="0.45">
      <c r="L749"/>
      <c r="M749"/>
    </row>
    <row r="750" spans="12:13" x14ac:dyDescent="0.45">
      <c r="L750"/>
      <c r="M750"/>
    </row>
    <row r="751" spans="12:13" x14ac:dyDescent="0.45">
      <c r="L751"/>
      <c r="M751"/>
    </row>
    <row r="752" spans="12:13" x14ac:dyDescent="0.45">
      <c r="L752"/>
      <c r="M752"/>
    </row>
    <row r="753" spans="12:13" x14ac:dyDescent="0.45">
      <c r="L753"/>
      <c r="M753"/>
    </row>
    <row r="754" spans="12:13" x14ac:dyDescent="0.45">
      <c r="L754"/>
      <c r="M754"/>
    </row>
    <row r="755" spans="12:13" x14ac:dyDescent="0.45">
      <c r="L755"/>
      <c r="M755"/>
    </row>
    <row r="756" spans="12:13" x14ac:dyDescent="0.45">
      <c r="L756"/>
      <c r="M756"/>
    </row>
    <row r="757" spans="12:13" x14ac:dyDescent="0.45">
      <c r="L757"/>
      <c r="M757"/>
    </row>
    <row r="758" spans="12:13" x14ac:dyDescent="0.45">
      <c r="L758"/>
      <c r="M758"/>
    </row>
    <row r="759" spans="12:13" x14ac:dyDescent="0.45">
      <c r="L759"/>
      <c r="M759"/>
    </row>
    <row r="760" spans="12:13" x14ac:dyDescent="0.45">
      <c r="L760"/>
      <c r="M760"/>
    </row>
    <row r="761" spans="12:13" x14ac:dyDescent="0.45">
      <c r="L761"/>
      <c r="M761"/>
    </row>
    <row r="762" spans="12:13" x14ac:dyDescent="0.45">
      <c r="L762"/>
      <c r="M762"/>
    </row>
    <row r="763" spans="12:13" x14ac:dyDescent="0.45">
      <c r="L763"/>
      <c r="M763"/>
    </row>
    <row r="764" spans="12:13" x14ac:dyDescent="0.45">
      <c r="L764"/>
      <c r="M764"/>
    </row>
    <row r="765" spans="12:13" x14ac:dyDescent="0.45">
      <c r="L765"/>
      <c r="M765"/>
    </row>
    <row r="766" spans="12:13" x14ac:dyDescent="0.45">
      <c r="L766"/>
      <c r="M766"/>
    </row>
    <row r="767" spans="12:13" x14ac:dyDescent="0.45">
      <c r="L767"/>
      <c r="M767"/>
    </row>
    <row r="768" spans="12:13" x14ac:dyDescent="0.45">
      <c r="L768"/>
      <c r="M768"/>
    </row>
    <row r="769" spans="12:13" x14ac:dyDescent="0.45">
      <c r="L769"/>
      <c r="M769"/>
    </row>
    <row r="770" spans="12:13" x14ac:dyDescent="0.45">
      <c r="L770"/>
      <c r="M770"/>
    </row>
    <row r="771" spans="12:13" x14ac:dyDescent="0.45">
      <c r="L771"/>
      <c r="M771"/>
    </row>
    <row r="772" spans="12:13" x14ac:dyDescent="0.45">
      <c r="L772"/>
      <c r="M772"/>
    </row>
    <row r="773" spans="12:13" x14ac:dyDescent="0.45">
      <c r="L773"/>
      <c r="M773"/>
    </row>
    <row r="774" spans="12:13" x14ac:dyDescent="0.45">
      <c r="L774"/>
      <c r="M774"/>
    </row>
    <row r="775" spans="12:13" x14ac:dyDescent="0.45">
      <c r="L775"/>
      <c r="M775"/>
    </row>
    <row r="776" spans="12:13" x14ac:dyDescent="0.45">
      <c r="L776"/>
      <c r="M776"/>
    </row>
    <row r="777" spans="12:13" x14ac:dyDescent="0.45">
      <c r="L777"/>
      <c r="M777"/>
    </row>
    <row r="778" spans="12:13" x14ac:dyDescent="0.45">
      <c r="L778"/>
      <c r="M778"/>
    </row>
    <row r="779" spans="12:13" x14ac:dyDescent="0.45">
      <c r="L779"/>
      <c r="M779"/>
    </row>
    <row r="780" spans="12:13" x14ac:dyDescent="0.45">
      <c r="L780"/>
      <c r="M780"/>
    </row>
    <row r="781" spans="12:13" x14ac:dyDescent="0.45">
      <c r="L781"/>
      <c r="M781"/>
    </row>
    <row r="782" spans="12:13" x14ac:dyDescent="0.45">
      <c r="L782"/>
      <c r="M782"/>
    </row>
    <row r="783" spans="12:13" x14ac:dyDescent="0.45">
      <c r="L783"/>
      <c r="M783"/>
    </row>
    <row r="784" spans="12:13" x14ac:dyDescent="0.45">
      <c r="L784"/>
      <c r="M784"/>
    </row>
    <row r="785" spans="12:13" x14ac:dyDescent="0.45">
      <c r="L785"/>
      <c r="M785"/>
    </row>
    <row r="786" spans="12:13" x14ac:dyDescent="0.45">
      <c r="L786"/>
      <c r="M786"/>
    </row>
    <row r="787" spans="12:13" x14ac:dyDescent="0.45">
      <c r="L787"/>
      <c r="M787"/>
    </row>
    <row r="788" spans="12:13" x14ac:dyDescent="0.45">
      <c r="L788"/>
      <c r="M788"/>
    </row>
    <row r="789" spans="12:13" x14ac:dyDescent="0.45">
      <c r="L789"/>
      <c r="M789"/>
    </row>
    <row r="790" spans="12:13" x14ac:dyDescent="0.45">
      <c r="L790"/>
      <c r="M790"/>
    </row>
    <row r="791" spans="12:13" x14ac:dyDescent="0.45">
      <c r="L791"/>
      <c r="M791"/>
    </row>
    <row r="792" spans="12:13" x14ac:dyDescent="0.45">
      <c r="L792"/>
      <c r="M792"/>
    </row>
    <row r="793" spans="12:13" x14ac:dyDescent="0.45">
      <c r="L793"/>
      <c r="M793"/>
    </row>
    <row r="794" spans="12:13" x14ac:dyDescent="0.45">
      <c r="L794"/>
      <c r="M794"/>
    </row>
    <row r="795" spans="12:13" x14ac:dyDescent="0.45">
      <c r="L795"/>
      <c r="M795"/>
    </row>
    <row r="796" spans="12:13" x14ac:dyDescent="0.45">
      <c r="L796"/>
      <c r="M796"/>
    </row>
    <row r="797" spans="12:13" x14ac:dyDescent="0.45">
      <c r="L797"/>
      <c r="M797"/>
    </row>
    <row r="798" spans="12:13" x14ac:dyDescent="0.45">
      <c r="L798"/>
      <c r="M798"/>
    </row>
    <row r="799" spans="12:13" x14ac:dyDescent="0.45">
      <c r="L799"/>
      <c r="M799"/>
    </row>
    <row r="800" spans="12:13" x14ac:dyDescent="0.45">
      <c r="L800"/>
      <c r="M800"/>
    </row>
    <row r="801" spans="12:13" x14ac:dyDescent="0.45">
      <c r="L801"/>
      <c r="M801"/>
    </row>
    <row r="802" spans="12:13" x14ac:dyDescent="0.45">
      <c r="L802"/>
      <c r="M802"/>
    </row>
    <row r="803" spans="12:13" x14ac:dyDescent="0.45">
      <c r="L803"/>
      <c r="M803"/>
    </row>
    <row r="804" spans="12:13" x14ac:dyDescent="0.45">
      <c r="L804"/>
      <c r="M804"/>
    </row>
    <row r="805" spans="12:13" x14ac:dyDescent="0.45">
      <c r="L805"/>
      <c r="M805"/>
    </row>
    <row r="806" spans="12:13" x14ac:dyDescent="0.45">
      <c r="L806"/>
      <c r="M806"/>
    </row>
    <row r="807" spans="12:13" x14ac:dyDescent="0.45">
      <c r="L807"/>
      <c r="M807"/>
    </row>
    <row r="808" spans="12:13" x14ac:dyDescent="0.45">
      <c r="L808"/>
      <c r="M808"/>
    </row>
    <row r="809" spans="12:13" x14ac:dyDescent="0.45">
      <c r="L809"/>
      <c r="M809"/>
    </row>
    <row r="810" spans="12:13" x14ac:dyDescent="0.45">
      <c r="L810"/>
      <c r="M810"/>
    </row>
    <row r="811" spans="12:13" x14ac:dyDescent="0.45">
      <c r="L811"/>
      <c r="M811"/>
    </row>
    <row r="812" spans="12:13" x14ac:dyDescent="0.45">
      <c r="L812"/>
      <c r="M812"/>
    </row>
    <row r="813" spans="12:13" x14ac:dyDescent="0.45">
      <c r="L813"/>
      <c r="M813"/>
    </row>
    <row r="814" spans="12:13" x14ac:dyDescent="0.45">
      <c r="L814"/>
      <c r="M814"/>
    </row>
    <row r="815" spans="12:13" x14ac:dyDescent="0.45">
      <c r="L815"/>
      <c r="M815"/>
    </row>
    <row r="816" spans="12:13" x14ac:dyDescent="0.45">
      <c r="L816"/>
      <c r="M816"/>
    </row>
    <row r="817" spans="12:13" x14ac:dyDescent="0.45">
      <c r="L817"/>
      <c r="M817"/>
    </row>
    <row r="818" spans="12:13" x14ac:dyDescent="0.45">
      <c r="L818"/>
      <c r="M818"/>
    </row>
    <row r="819" spans="12:13" x14ac:dyDescent="0.45">
      <c r="L819"/>
      <c r="M819"/>
    </row>
    <row r="820" spans="12:13" x14ac:dyDescent="0.45">
      <c r="L820"/>
      <c r="M820"/>
    </row>
    <row r="821" spans="12:13" x14ac:dyDescent="0.45">
      <c r="L821"/>
      <c r="M821"/>
    </row>
    <row r="822" spans="12:13" x14ac:dyDescent="0.45">
      <c r="L822"/>
      <c r="M822"/>
    </row>
    <row r="823" spans="12:13" x14ac:dyDescent="0.45">
      <c r="L823"/>
      <c r="M823"/>
    </row>
    <row r="824" spans="12:13" x14ac:dyDescent="0.45">
      <c r="L824"/>
      <c r="M824"/>
    </row>
    <row r="825" spans="12:13" x14ac:dyDescent="0.45">
      <c r="L825"/>
      <c r="M825"/>
    </row>
    <row r="826" spans="12:13" x14ac:dyDescent="0.45">
      <c r="L826"/>
      <c r="M826"/>
    </row>
    <row r="827" spans="12:13" x14ac:dyDescent="0.45">
      <c r="L827"/>
      <c r="M827"/>
    </row>
    <row r="828" spans="12:13" x14ac:dyDescent="0.45">
      <c r="L828"/>
      <c r="M828"/>
    </row>
    <row r="829" spans="12:13" x14ac:dyDescent="0.45">
      <c r="L829"/>
      <c r="M829"/>
    </row>
    <row r="830" spans="12:13" x14ac:dyDescent="0.45">
      <c r="L830"/>
      <c r="M830"/>
    </row>
    <row r="831" spans="12:13" x14ac:dyDescent="0.45">
      <c r="L831"/>
      <c r="M831"/>
    </row>
    <row r="832" spans="12:13" x14ac:dyDescent="0.45">
      <c r="L832"/>
      <c r="M832"/>
    </row>
    <row r="833" spans="12:13" x14ac:dyDescent="0.45">
      <c r="L833"/>
      <c r="M833"/>
    </row>
    <row r="834" spans="12:13" x14ac:dyDescent="0.45">
      <c r="L834"/>
      <c r="M834"/>
    </row>
    <row r="835" spans="12:13" x14ac:dyDescent="0.45">
      <c r="L835"/>
      <c r="M835"/>
    </row>
    <row r="836" spans="12:13" x14ac:dyDescent="0.45">
      <c r="L836"/>
      <c r="M836"/>
    </row>
    <row r="837" spans="12:13" x14ac:dyDescent="0.45">
      <c r="L837"/>
      <c r="M837"/>
    </row>
    <row r="838" spans="12:13" x14ac:dyDescent="0.45">
      <c r="L838"/>
      <c r="M838"/>
    </row>
    <row r="839" spans="12:13" x14ac:dyDescent="0.45">
      <c r="L839"/>
      <c r="M839"/>
    </row>
    <row r="840" spans="12:13" x14ac:dyDescent="0.45">
      <c r="L840"/>
      <c r="M840"/>
    </row>
    <row r="841" spans="12:13" x14ac:dyDescent="0.45">
      <c r="L841"/>
      <c r="M841"/>
    </row>
    <row r="842" spans="12:13" x14ac:dyDescent="0.45">
      <c r="L842"/>
      <c r="M842"/>
    </row>
    <row r="843" spans="12:13" x14ac:dyDescent="0.45">
      <c r="L843"/>
      <c r="M843"/>
    </row>
    <row r="844" spans="12:13" x14ac:dyDescent="0.45">
      <c r="L844"/>
      <c r="M844"/>
    </row>
    <row r="845" spans="12:13" x14ac:dyDescent="0.45">
      <c r="L845"/>
      <c r="M845"/>
    </row>
    <row r="846" spans="12:13" x14ac:dyDescent="0.45">
      <c r="L846"/>
      <c r="M846"/>
    </row>
    <row r="847" spans="12:13" x14ac:dyDescent="0.45">
      <c r="L847"/>
      <c r="M847"/>
    </row>
    <row r="848" spans="12:13" x14ac:dyDescent="0.45">
      <c r="L848"/>
      <c r="M848"/>
    </row>
    <row r="849" spans="12:13" x14ac:dyDescent="0.45">
      <c r="L849"/>
      <c r="M849"/>
    </row>
    <row r="850" spans="12:13" x14ac:dyDescent="0.45">
      <c r="L850"/>
      <c r="M850"/>
    </row>
    <row r="851" spans="12:13" x14ac:dyDescent="0.45">
      <c r="L851"/>
      <c r="M851"/>
    </row>
    <row r="852" spans="12:13" x14ac:dyDescent="0.45">
      <c r="L852"/>
      <c r="M852"/>
    </row>
    <row r="853" spans="12:13" x14ac:dyDescent="0.45">
      <c r="L853"/>
      <c r="M853"/>
    </row>
    <row r="854" spans="12:13" x14ac:dyDescent="0.45">
      <c r="L854"/>
      <c r="M854"/>
    </row>
    <row r="855" spans="12:13" x14ac:dyDescent="0.45">
      <c r="L855"/>
      <c r="M855"/>
    </row>
    <row r="856" spans="12:13" x14ac:dyDescent="0.45">
      <c r="L856"/>
      <c r="M856"/>
    </row>
    <row r="857" spans="12:13" x14ac:dyDescent="0.45">
      <c r="L857"/>
      <c r="M857"/>
    </row>
    <row r="858" spans="12:13" x14ac:dyDescent="0.45">
      <c r="L858"/>
      <c r="M858"/>
    </row>
    <row r="859" spans="12:13" x14ac:dyDescent="0.45">
      <c r="L859"/>
      <c r="M859"/>
    </row>
    <row r="860" spans="12:13" x14ac:dyDescent="0.45">
      <c r="L860"/>
      <c r="M860"/>
    </row>
    <row r="861" spans="12:13" x14ac:dyDescent="0.45">
      <c r="L861"/>
      <c r="M861"/>
    </row>
    <row r="862" spans="12:13" x14ac:dyDescent="0.45">
      <c r="L862"/>
      <c r="M862"/>
    </row>
    <row r="863" spans="12:13" x14ac:dyDescent="0.45">
      <c r="L863"/>
      <c r="M863"/>
    </row>
    <row r="864" spans="12:13" x14ac:dyDescent="0.45">
      <c r="L864"/>
      <c r="M864"/>
    </row>
    <row r="865" spans="12:13" x14ac:dyDescent="0.45">
      <c r="L865"/>
      <c r="M865"/>
    </row>
    <row r="866" spans="12:13" x14ac:dyDescent="0.45">
      <c r="L866"/>
      <c r="M866"/>
    </row>
    <row r="867" spans="12:13" x14ac:dyDescent="0.45">
      <c r="L867"/>
      <c r="M867"/>
    </row>
    <row r="868" spans="12:13" x14ac:dyDescent="0.45">
      <c r="L868"/>
      <c r="M868"/>
    </row>
    <row r="869" spans="12:13" x14ac:dyDescent="0.45">
      <c r="L869"/>
      <c r="M869"/>
    </row>
    <row r="870" spans="12:13" x14ac:dyDescent="0.45">
      <c r="L870"/>
      <c r="M870"/>
    </row>
    <row r="871" spans="12:13" x14ac:dyDescent="0.45">
      <c r="L871"/>
      <c r="M871"/>
    </row>
    <row r="872" spans="12:13" x14ac:dyDescent="0.45">
      <c r="L872"/>
      <c r="M872"/>
    </row>
    <row r="873" spans="12:13" x14ac:dyDescent="0.45">
      <c r="L873"/>
      <c r="M873"/>
    </row>
    <row r="874" spans="12:13" x14ac:dyDescent="0.45">
      <c r="L874"/>
      <c r="M874"/>
    </row>
    <row r="875" spans="12:13" x14ac:dyDescent="0.45">
      <c r="L875"/>
      <c r="M875"/>
    </row>
    <row r="876" spans="12:13" x14ac:dyDescent="0.45">
      <c r="L876"/>
      <c r="M876"/>
    </row>
    <row r="877" spans="12:13" x14ac:dyDescent="0.45">
      <c r="L877"/>
      <c r="M877"/>
    </row>
    <row r="878" spans="12:13" x14ac:dyDescent="0.45">
      <c r="L878"/>
      <c r="M878"/>
    </row>
    <row r="879" spans="12:13" x14ac:dyDescent="0.45">
      <c r="L879"/>
      <c r="M879"/>
    </row>
    <row r="880" spans="12:13" x14ac:dyDescent="0.45">
      <c r="L880"/>
      <c r="M880"/>
    </row>
    <row r="881" spans="12:13" x14ac:dyDescent="0.45">
      <c r="L881"/>
      <c r="M881"/>
    </row>
    <row r="882" spans="12:13" x14ac:dyDescent="0.45">
      <c r="L882"/>
      <c r="M882"/>
    </row>
    <row r="883" spans="12:13" x14ac:dyDescent="0.45">
      <c r="L883"/>
      <c r="M883"/>
    </row>
    <row r="884" spans="12:13" x14ac:dyDescent="0.45">
      <c r="L884"/>
      <c r="M884"/>
    </row>
    <row r="885" spans="12:13" x14ac:dyDescent="0.45">
      <c r="L885"/>
      <c r="M885"/>
    </row>
    <row r="886" spans="12:13" x14ac:dyDescent="0.45">
      <c r="L886"/>
      <c r="M886"/>
    </row>
    <row r="887" spans="12:13" x14ac:dyDescent="0.45">
      <c r="L887"/>
      <c r="M887"/>
    </row>
    <row r="888" spans="12:13" x14ac:dyDescent="0.45">
      <c r="L888"/>
      <c r="M888"/>
    </row>
    <row r="889" spans="12:13" x14ac:dyDescent="0.45">
      <c r="L889"/>
      <c r="M889"/>
    </row>
    <row r="890" spans="12:13" x14ac:dyDescent="0.45">
      <c r="L890"/>
      <c r="M890"/>
    </row>
    <row r="891" spans="12:13" x14ac:dyDescent="0.45">
      <c r="L891"/>
      <c r="M891"/>
    </row>
    <row r="892" spans="12:13" x14ac:dyDescent="0.45">
      <c r="L892"/>
      <c r="M892"/>
    </row>
    <row r="893" spans="12:13" x14ac:dyDescent="0.45">
      <c r="L893"/>
      <c r="M893"/>
    </row>
    <row r="894" spans="12:13" x14ac:dyDescent="0.45">
      <c r="L894"/>
      <c r="M894"/>
    </row>
    <row r="895" spans="12:13" x14ac:dyDescent="0.45">
      <c r="L895"/>
      <c r="M895"/>
    </row>
    <row r="896" spans="12:13" x14ac:dyDescent="0.45">
      <c r="L896"/>
      <c r="M896"/>
    </row>
    <row r="897" spans="12:13" x14ac:dyDescent="0.45">
      <c r="L897"/>
      <c r="M897"/>
    </row>
    <row r="898" spans="12:13" x14ac:dyDescent="0.45">
      <c r="L898"/>
      <c r="M898"/>
    </row>
    <row r="899" spans="12:13" x14ac:dyDescent="0.45">
      <c r="L899"/>
      <c r="M899"/>
    </row>
    <row r="900" spans="12:13" x14ac:dyDescent="0.45">
      <c r="L900"/>
      <c r="M900"/>
    </row>
    <row r="901" spans="12:13" x14ac:dyDescent="0.45">
      <c r="L901"/>
      <c r="M901"/>
    </row>
    <row r="902" spans="12:13" x14ac:dyDescent="0.45">
      <c r="L902"/>
      <c r="M902"/>
    </row>
    <row r="903" spans="12:13" x14ac:dyDescent="0.45">
      <c r="L903"/>
      <c r="M903"/>
    </row>
    <row r="904" spans="12:13" x14ac:dyDescent="0.45">
      <c r="L904"/>
      <c r="M904"/>
    </row>
    <row r="905" spans="12:13" x14ac:dyDescent="0.45">
      <c r="L905"/>
      <c r="M905"/>
    </row>
    <row r="906" spans="12:13" x14ac:dyDescent="0.45">
      <c r="L906"/>
      <c r="M906"/>
    </row>
    <row r="907" spans="12:13" x14ac:dyDescent="0.45">
      <c r="L907"/>
      <c r="M907"/>
    </row>
    <row r="908" spans="12:13" x14ac:dyDescent="0.45">
      <c r="L908"/>
      <c r="M908"/>
    </row>
    <row r="909" spans="12:13" x14ac:dyDescent="0.45">
      <c r="L909"/>
      <c r="M909"/>
    </row>
    <row r="910" spans="12:13" x14ac:dyDescent="0.45">
      <c r="L910"/>
      <c r="M910"/>
    </row>
    <row r="911" spans="12:13" x14ac:dyDescent="0.45">
      <c r="L911"/>
      <c r="M911"/>
    </row>
    <row r="912" spans="12:13" x14ac:dyDescent="0.45">
      <c r="L912"/>
      <c r="M912"/>
    </row>
    <row r="913" spans="12:13" x14ac:dyDescent="0.45">
      <c r="L913"/>
      <c r="M913"/>
    </row>
    <row r="914" spans="12:13" x14ac:dyDescent="0.45">
      <c r="L914"/>
      <c r="M914"/>
    </row>
    <row r="915" spans="12:13" x14ac:dyDescent="0.45">
      <c r="L915"/>
      <c r="M915"/>
    </row>
    <row r="916" spans="12:13" x14ac:dyDescent="0.45">
      <c r="L916"/>
      <c r="M916"/>
    </row>
    <row r="917" spans="12:13" x14ac:dyDescent="0.45">
      <c r="L917"/>
      <c r="M917"/>
    </row>
    <row r="918" spans="12:13" x14ac:dyDescent="0.45">
      <c r="L918"/>
      <c r="M918"/>
    </row>
    <row r="919" spans="12:13" x14ac:dyDescent="0.45">
      <c r="L919"/>
      <c r="M919"/>
    </row>
    <row r="920" spans="12:13" x14ac:dyDescent="0.45">
      <c r="L920"/>
      <c r="M920"/>
    </row>
    <row r="921" spans="12:13" x14ac:dyDescent="0.45">
      <c r="L921"/>
      <c r="M921"/>
    </row>
    <row r="922" spans="12:13" x14ac:dyDescent="0.45">
      <c r="L922"/>
      <c r="M922"/>
    </row>
    <row r="923" spans="12:13" x14ac:dyDescent="0.45">
      <c r="L923"/>
      <c r="M923"/>
    </row>
    <row r="924" spans="12:13" x14ac:dyDescent="0.45">
      <c r="L924"/>
      <c r="M924"/>
    </row>
    <row r="925" spans="12:13" x14ac:dyDescent="0.45">
      <c r="L925"/>
      <c r="M925"/>
    </row>
    <row r="926" spans="12:13" x14ac:dyDescent="0.45">
      <c r="L926"/>
      <c r="M926"/>
    </row>
    <row r="927" spans="12:13" x14ac:dyDescent="0.45">
      <c r="L927"/>
      <c r="M927"/>
    </row>
    <row r="928" spans="12:13" x14ac:dyDescent="0.45">
      <c r="L928"/>
      <c r="M928"/>
    </row>
    <row r="929" spans="12:13" x14ac:dyDescent="0.45">
      <c r="L929"/>
      <c r="M929"/>
    </row>
    <row r="930" spans="12:13" x14ac:dyDescent="0.45">
      <c r="L930"/>
      <c r="M930"/>
    </row>
    <row r="931" spans="12:13" x14ac:dyDescent="0.45">
      <c r="L931"/>
      <c r="M931"/>
    </row>
    <row r="932" spans="12:13" x14ac:dyDescent="0.45">
      <c r="L932"/>
      <c r="M932"/>
    </row>
    <row r="933" spans="12:13" x14ac:dyDescent="0.45">
      <c r="L933"/>
      <c r="M933"/>
    </row>
    <row r="934" spans="12:13" x14ac:dyDescent="0.45">
      <c r="L934"/>
      <c r="M934"/>
    </row>
    <row r="935" spans="12:13" x14ac:dyDescent="0.45">
      <c r="L935"/>
      <c r="M935"/>
    </row>
    <row r="936" spans="12:13" x14ac:dyDescent="0.45">
      <c r="L936"/>
      <c r="M936"/>
    </row>
    <row r="937" spans="12:13" x14ac:dyDescent="0.45">
      <c r="L937"/>
      <c r="M937"/>
    </row>
    <row r="938" spans="12:13" x14ac:dyDescent="0.45">
      <c r="L938"/>
      <c r="M938"/>
    </row>
    <row r="939" spans="12:13" x14ac:dyDescent="0.45">
      <c r="L939"/>
      <c r="M939"/>
    </row>
    <row r="940" spans="12:13" x14ac:dyDescent="0.45">
      <c r="L940"/>
      <c r="M940"/>
    </row>
    <row r="941" spans="12:13" x14ac:dyDescent="0.45">
      <c r="L941"/>
      <c r="M941"/>
    </row>
    <row r="942" spans="12:13" x14ac:dyDescent="0.45">
      <c r="L942"/>
      <c r="M942"/>
    </row>
    <row r="943" spans="12:13" x14ac:dyDescent="0.45">
      <c r="L943"/>
      <c r="M943"/>
    </row>
    <row r="944" spans="12:13" x14ac:dyDescent="0.45">
      <c r="L944"/>
      <c r="M944"/>
    </row>
    <row r="945" spans="12:13" x14ac:dyDescent="0.45">
      <c r="L945"/>
      <c r="M945"/>
    </row>
    <row r="946" spans="12:13" x14ac:dyDescent="0.45">
      <c r="L946"/>
      <c r="M946"/>
    </row>
    <row r="947" spans="12:13" x14ac:dyDescent="0.45">
      <c r="L947"/>
      <c r="M947"/>
    </row>
    <row r="948" spans="12:13" x14ac:dyDescent="0.45">
      <c r="L948"/>
      <c r="M948"/>
    </row>
    <row r="949" spans="12:13" x14ac:dyDescent="0.45">
      <c r="L949"/>
      <c r="M949"/>
    </row>
    <row r="950" spans="12:13" x14ac:dyDescent="0.45">
      <c r="L950"/>
      <c r="M950"/>
    </row>
    <row r="951" spans="12:13" x14ac:dyDescent="0.45">
      <c r="L951"/>
      <c r="M951"/>
    </row>
    <row r="952" spans="12:13" x14ac:dyDescent="0.45">
      <c r="L952"/>
      <c r="M952"/>
    </row>
    <row r="953" spans="12:13" x14ac:dyDescent="0.45">
      <c r="L953"/>
      <c r="M953"/>
    </row>
    <row r="954" spans="12:13" x14ac:dyDescent="0.45">
      <c r="L954"/>
      <c r="M954"/>
    </row>
    <row r="955" spans="12:13" x14ac:dyDescent="0.45">
      <c r="L955"/>
      <c r="M955"/>
    </row>
    <row r="956" spans="12:13" x14ac:dyDescent="0.45">
      <c r="L956"/>
      <c r="M956"/>
    </row>
    <row r="957" spans="12:13" x14ac:dyDescent="0.45">
      <c r="L957"/>
      <c r="M957"/>
    </row>
    <row r="958" spans="12:13" x14ac:dyDescent="0.45">
      <c r="L958"/>
      <c r="M958"/>
    </row>
    <row r="959" spans="12:13" x14ac:dyDescent="0.45">
      <c r="L959"/>
      <c r="M959"/>
    </row>
    <row r="960" spans="12:13" x14ac:dyDescent="0.45">
      <c r="L960"/>
      <c r="M960"/>
    </row>
    <row r="961" spans="12:13" x14ac:dyDescent="0.45">
      <c r="L961"/>
      <c r="M961"/>
    </row>
    <row r="962" spans="12:13" x14ac:dyDescent="0.45">
      <c r="L962"/>
      <c r="M962"/>
    </row>
    <row r="963" spans="12:13" x14ac:dyDescent="0.45">
      <c r="L963"/>
      <c r="M963"/>
    </row>
    <row r="964" spans="12:13" x14ac:dyDescent="0.45">
      <c r="L964"/>
      <c r="M964"/>
    </row>
    <row r="965" spans="12:13" x14ac:dyDescent="0.45">
      <c r="L965"/>
      <c r="M965"/>
    </row>
    <row r="966" spans="12:13" x14ac:dyDescent="0.45">
      <c r="L966"/>
      <c r="M966"/>
    </row>
    <row r="967" spans="12:13" x14ac:dyDescent="0.45">
      <c r="L967"/>
      <c r="M967"/>
    </row>
    <row r="968" spans="12:13" x14ac:dyDescent="0.45">
      <c r="L968"/>
      <c r="M968"/>
    </row>
    <row r="969" spans="12:13" x14ac:dyDescent="0.45">
      <c r="L969"/>
      <c r="M969"/>
    </row>
    <row r="970" spans="12:13" x14ac:dyDescent="0.45">
      <c r="L970"/>
      <c r="M970"/>
    </row>
    <row r="971" spans="12:13" x14ac:dyDescent="0.45">
      <c r="L971"/>
      <c r="M971"/>
    </row>
    <row r="972" spans="12:13" x14ac:dyDescent="0.45">
      <c r="L972"/>
      <c r="M972"/>
    </row>
    <row r="973" spans="12:13" x14ac:dyDescent="0.45">
      <c r="L973"/>
      <c r="M973"/>
    </row>
    <row r="974" spans="12:13" x14ac:dyDescent="0.45">
      <c r="L974"/>
      <c r="M974"/>
    </row>
    <row r="975" spans="12:13" x14ac:dyDescent="0.45">
      <c r="L975"/>
      <c r="M975"/>
    </row>
    <row r="976" spans="12:13" x14ac:dyDescent="0.45">
      <c r="L976"/>
      <c r="M976"/>
    </row>
    <row r="977" spans="12:13" x14ac:dyDescent="0.45">
      <c r="L977"/>
      <c r="M977"/>
    </row>
    <row r="978" spans="12:13" x14ac:dyDescent="0.45">
      <c r="L978"/>
      <c r="M978"/>
    </row>
    <row r="979" spans="12:13" x14ac:dyDescent="0.45">
      <c r="L979"/>
      <c r="M979"/>
    </row>
    <row r="980" spans="12:13" x14ac:dyDescent="0.45">
      <c r="L980"/>
      <c r="M980"/>
    </row>
    <row r="981" spans="12:13" x14ac:dyDescent="0.45">
      <c r="L981"/>
      <c r="M981"/>
    </row>
    <row r="982" spans="12:13" x14ac:dyDescent="0.45">
      <c r="L982"/>
      <c r="M982"/>
    </row>
    <row r="983" spans="12:13" x14ac:dyDescent="0.45">
      <c r="L983"/>
      <c r="M983"/>
    </row>
    <row r="984" spans="12:13" x14ac:dyDescent="0.45">
      <c r="L984"/>
      <c r="M984"/>
    </row>
    <row r="985" spans="12:13" x14ac:dyDescent="0.45">
      <c r="L985"/>
      <c r="M985"/>
    </row>
    <row r="986" spans="12:13" x14ac:dyDescent="0.45">
      <c r="L986"/>
      <c r="M986"/>
    </row>
    <row r="987" spans="12:13" x14ac:dyDescent="0.45">
      <c r="L987"/>
      <c r="M987"/>
    </row>
    <row r="988" spans="12:13" x14ac:dyDescent="0.45">
      <c r="L988"/>
      <c r="M988"/>
    </row>
    <row r="989" spans="12:13" x14ac:dyDescent="0.45">
      <c r="L989"/>
      <c r="M989"/>
    </row>
    <row r="990" spans="12:13" x14ac:dyDescent="0.45">
      <c r="L990"/>
      <c r="M990"/>
    </row>
    <row r="991" spans="12:13" x14ac:dyDescent="0.45">
      <c r="L991"/>
      <c r="M991"/>
    </row>
    <row r="992" spans="12:13" x14ac:dyDescent="0.45">
      <c r="L992"/>
      <c r="M992"/>
    </row>
    <row r="993" spans="12:13" x14ac:dyDescent="0.45">
      <c r="L993"/>
      <c r="M993"/>
    </row>
    <row r="994" spans="12:13" x14ac:dyDescent="0.45">
      <c r="L994"/>
      <c r="M994"/>
    </row>
    <row r="995" spans="12:13" x14ac:dyDescent="0.45">
      <c r="L995"/>
      <c r="M995"/>
    </row>
    <row r="996" spans="12:13" x14ac:dyDescent="0.45">
      <c r="L996"/>
      <c r="M996"/>
    </row>
    <row r="997" spans="12:13" x14ac:dyDescent="0.45">
      <c r="L997"/>
      <c r="M997"/>
    </row>
    <row r="998" spans="12:13" x14ac:dyDescent="0.45">
      <c r="L998"/>
      <c r="M998"/>
    </row>
    <row r="999" spans="12:13" x14ac:dyDescent="0.45">
      <c r="L999"/>
      <c r="M999"/>
    </row>
    <row r="1000" spans="12:13" x14ac:dyDescent="0.45">
      <c r="L1000"/>
      <c r="M1000"/>
    </row>
    <row r="1001" spans="12:13" x14ac:dyDescent="0.45">
      <c r="L1001"/>
      <c r="M1001"/>
    </row>
    <row r="1002" spans="12:13" x14ac:dyDescent="0.45">
      <c r="L1002"/>
      <c r="M1002"/>
    </row>
    <row r="1003" spans="12:13" x14ac:dyDescent="0.45">
      <c r="L1003"/>
      <c r="M1003"/>
    </row>
    <row r="1004" spans="12:13" x14ac:dyDescent="0.45">
      <c r="L1004"/>
      <c r="M1004"/>
    </row>
    <row r="1005" spans="12:13" x14ac:dyDescent="0.45">
      <c r="L1005"/>
      <c r="M1005"/>
    </row>
    <row r="1006" spans="12:13" x14ac:dyDescent="0.45">
      <c r="L1006"/>
      <c r="M1006"/>
    </row>
    <row r="1007" spans="12:13" x14ac:dyDescent="0.45">
      <c r="L1007"/>
      <c r="M1007"/>
    </row>
    <row r="1008" spans="12:13" x14ac:dyDescent="0.45">
      <c r="L1008"/>
      <c r="M1008"/>
    </row>
  </sheetData>
  <conditionalFormatting sqref="H2:H5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{FBE8B526-70DE-451F-A800-881CBBDBFE93}</x14:id>
        </ext>
      </extLst>
    </cfRule>
  </conditionalFormatting>
  <conditionalFormatting sqref="I1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{9E0D6522-C30E-4F54-98EA-1ADFBF2820CC}</x14:id>
        </ext>
      </extLst>
    </cfRule>
  </conditionalFormatting>
  <conditionalFormatting sqref="J1:J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E8B526-70DE-451F-A800-881CBBDBF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H2:H501</xm:sqref>
        </x14:conditionalFormatting>
        <x14:conditionalFormatting xmlns:xm="http://schemas.microsoft.com/office/excel/2006/main">
          <x14:cfRule type="dataBar" id="{9E0D6522-C30E-4F54-98EA-1ADFBF2820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2292-C06A-4AAE-8D28-04CFDA31C023}">
  <dimension ref="A1:M502"/>
  <sheetViews>
    <sheetView topLeftCell="D1" workbookViewId="0">
      <selection activeCell="L15" sqref="L15"/>
    </sheetView>
  </sheetViews>
  <sheetFormatPr defaultRowHeight="14.25" x14ac:dyDescent="0.45"/>
  <cols>
    <col min="1" max="1" width="39.53125" style="2" bestFit="1" customWidth="1"/>
    <col min="2" max="2" width="10.53125" customWidth="1"/>
    <col min="3" max="3" width="19.19921875" bestFit="1" customWidth="1"/>
    <col min="4" max="4" width="19.59765625" bestFit="1" customWidth="1"/>
    <col min="5" max="5" width="16.796875" bestFit="1" customWidth="1"/>
    <col min="6" max="6" width="14.46484375" bestFit="1" customWidth="1"/>
    <col min="7" max="7" width="14.19921875" bestFit="1" customWidth="1"/>
    <col min="8" max="8" width="26.53125" bestFit="1" customWidth="1"/>
    <col min="9" max="9" width="26.265625" bestFit="1" customWidth="1"/>
    <col min="10" max="10" width="25.1328125" customWidth="1"/>
    <col min="13" max="13" width="11.1328125" customWidth="1"/>
  </cols>
  <sheetData>
    <row r="1" spans="1:13" s="1" customFormat="1" x14ac:dyDescent="0.45">
      <c r="A1" s="1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</row>
    <row r="2" spans="1:13" x14ac:dyDescent="0.45">
      <c r="A2" s="2" t="s">
        <v>131</v>
      </c>
      <c r="B2" s="2" t="str">
        <f t="shared" ref="B2:B65" si="0">VLOOKUP(A2,Spotify1,2,FALSE)</f>
        <v>Male</v>
      </c>
      <c r="C2" s="2" t="str">
        <f t="shared" ref="C2:C65" si="1">VLOOKUP(A2,Spotify1,3,FALSE)</f>
        <v>United States</v>
      </c>
      <c r="D2" s="2" t="str">
        <f t="shared" ref="D2:D65" si="2">VLOOKUP(A2,Spotify1,4,FALSE)</f>
        <v>English</v>
      </c>
      <c r="E2" s="2" t="str">
        <f t="shared" ref="E2:E65" si="3">VLOOKUP(A2,Spotify1,5,FALSE)</f>
        <v>Hip-Hop</v>
      </c>
      <c r="F2" s="2" t="str">
        <f t="shared" ref="F2:F65" si="4">VLOOKUP(A2,Spotify1,6,FALSE)</f>
        <v>Group</v>
      </c>
      <c r="G2" s="2">
        <f t="shared" ref="G2:G65" si="5">VLOOKUP(A2,Spotify1,7,FALSE)</f>
        <v>2014</v>
      </c>
      <c r="H2" s="2">
        <f t="shared" ref="H2:H65" si="6">VLOOKUP(A2,Spotify1,8,FALSE)</f>
        <v>21202.3</v>
      </c>
      <c r="I2" s="2">
        <f t="shared" ref="I2:I65" si="7">VLOOKUP(A2,Spotify1,9,FALSE)</f>
        <v>20357.3</v>
      </c>
      <c r="J2" s="2">
        <f t="shared" ref="J2:J65" si="8">VLOOKUP(A2,Spotify1,10,FALSE)</f>
        <v>851.6</v>
      </c>
      <c r="L2" s="24"/>
      <c r="M2" s="24"/>
    </row>
    <row r="3" spans="1:13" x14ac:dyDescent="0.45">
      <c r="A3" s="2" t="s">
        <v>251</v>
      </c>
      <c r="B3" s="2" t="str">
        <f t="shared" si="0"/>
        <v>Male</v>
      </c>
      <c r="C3" s="2" t="str">
        <f t="shared" si="1"/>
        <v>United States</v>
      </c>
      <c r="D3" s="2" t="str">
        <f t="shared" si="2"/>
        <v>English</v>
      </c>
      <c r="E3" s="2" t="str">
        <f t="shared" si="3"/>
        <v>Hip-Hop</v>
      </c>
      <c r="F3" s="2" t="str">
        <f t="shared" si="4"/>
        <v>Solo</v>
      </c>
      <c r="G3" s="2">
        <f t="shared" si="5"/>
        <v>2007</v>
      </c>
      <c r="H3" s="2">
        <f t="shared" si="6"/>
        <v>13978.6</v>
      </c>
      <c r="I3" s="2">
        <f t="shared" si="7"/>
        <v>4090.4</v>
      </c>
      <c r="J3" s="2">
        <f t="shared" si="8"/>
        <v>9888.1</v>
      </c>
      <c r="K3" s="22"/>
      <c r="L3" s="22"/>
      <c r="M3" s="22"/>
    </row>
    <row r="4" spans="1:13" x14ac:dyDescent="0.45">
      <c r="A4" s="2" t="s">
        <v>55</v>
      </c>
      <c r="B4" s="2" t="str">
        <f t="shared" si="0"/>
        <v>Male</v>
      </c>
      <c r="C4" s="2" t="str">
        <f t="shared" si="1"/>
        <v>United Kingdom</v>
      </c>
      <c r="D4" s="2" t="str">
        <f t="shared" si="2"/>
        <v>English</v>
      </c>
      <c r="E4" s="2" t="str">
        <f t="shared" si="3"/>
        <v>Hip-Hop</v>
      </c>
      <c r="F4" s="2" t="str">
        <f t="shared" si="4"/>
        <v>Solo</v>
      </c>
      <c r="G4" s="2">
        <f t="shared" si="5"/>
        <v>2014</v>
      </c>
      <c r="H4" s="2">
        <f t="shared" si="6"/>
        <v>39024.300000000003</v>
      </c>
      <c r="I4" s="2">
        <f t="shared" si="7"/>
        <v>15878</v>
      </c>
      <c r="J4" s="2">
        <f t="shared" si="8"/>
        <v>23155.599999999999</v>
      </c>
      <c r="K4" s="22"/>
      <c r="L4" s="22"/>
      <c r="M4" s="22"/>
    </row>
    <row r="5" spans="1:13" x14ac:dyDescent="0.45">
      <c r="A5" s="2" t="s">
        <v>245</v>
      </c>
      <c r="B5" s="2" t="str">
        <f t="shared" si="0"/>
        <v>Male</v>
      </c>
      <c r="C5" s="2" t="str">
        <f t="shared" si="1"/>
        <v>United States</v>
      </c>
      <c r="D5" s="2" t="str">
        <f t="shared" si="2"/>
        <v>English</v>
      </c>
      <c r="E5" s="2" t="str">
        <f t="shared" si="3"/>
        <v>Hip-Hop</v>
      </c>
      <c r="F5" s="2" t="str">
        <f t="shared" si="4"/>
        <v>Solo</v>
      </c>
      <c r="G5" s="2">
        <f t="shared" si="5"/>
        <v>1991</v>
      </c>
      <c r="H5" s="2">
        <f t="shared" si="6"/>
        <v>14116.7</v>
      </c>
      <c r="I5" s="2">
        <f t="shared" si="7"/>
        <v>13659.9</v>
      </c>
      <c r="J5" s="2">
        <f t="shared" si="8"/>
        <v>462.4</v>
      </c>
      <c r="K5" s="23"/>
      <c r="L5" s="26"/>
      <c r="M5" s="25"/>
    </row>
    <row r="6" spans="1:13" x14ac:dyDescent="0.45">
      <c r="A6" s="2" t="s">
        <v>287</v>
      </c>
      <c r="B6" s="2" t="str">
        <f t="shared" si="0"/>
        <v>Male</v>
      </c>
      <c r="C6" s="2" t="str">
        <f t="shared" si="1"/>
        <v>Australia</v>
      </c>
      <c r="D6" s="2" t="str">
        <f t="shared" si="2"/>
        <v>English</v>
      </c>
      <c r="E6" s="2" t="str">
        <f t="shared" si="3"/>
        <v>Rock</v>
      </c>
      <c r="F6" s="2" t="str">
        <f t="shared" si="4"/>
        <v>Group</v>
      </c>
      <c r="G6" s="2">
        <f t="shared" si="5"/>
        <v>2011</v>
      </c>
      <c r="H6" s="2">
        <f t="shared" si="6"/>
        <v>12788.3</v>
      </c>
      <c r="I6" s="2">
        <f t="shared" si="7"/>
        <v>12025.6</v>
      </c>
      <c r="J6" s="2">
        <f t="shared" si="8"/>
        <v>766.3</v>
      </c>
      <c r="K6" s="23"/>
      <c r="L6" s="28"/>
      <c r="M6" s="27"/>
    </row>
    <row r="7" spans="1:13" x14ac:dyDescent="0.45">
      <c r="A7" s="2" t="s">
        <v>139</v>
      </c>
      <c r="B7" s="2" t="str">
        <f t="shared" si="0"/>
        <v>Male</v>
      </c>
      <c r="C7" s="2" t="str">
        <f t="shared" si="1"/>
        <v>United States</v>
      </c>
      <c r="D7" s="2" t="str">
        <f t="shared" si="2"/>
        <v>English</v>
      </c>
      <c r="E7" s="2" t="str">
        <f t="shared" si="3"/>
        <v>Hip-Hop</v>
      </c>
      <c r="F7" s="2" t="str">
        <f t="shared" si="4"/>
        <v>Solo</v>
      </c>
      <c r="G7" s="2">
        <f t="shared" si="5"/>
        <v>2003</v>
      </c>
      <c r="H7" s="2">
        <f t="shared" si="6"/>
        <v>20444.599999999999</v>
      </c>
      <c r="I7" s="2">
        <f t="shared" si="7"/>
        <v>14112.2</v>
      </c>
      <c r="J7" s="2">
        <f t="shared" si="8"/>
        <v>6342</v>
      </c>
      <c r="K7" s="22"/>
      <c r="L7" s="28"/>
      <c r="M7" s="28"/>
    </row>
    <row r="8" spans="1:13" x14ac:dyDescent="0.45">
      <c r="A8" s="2" t="s">
        <v>480</v>
      </c>
      <c r="B8" s="2" t="str">
        <f t="shared" si="0"/>
        <v>Male</v>
      </c>
      <c r="C8" s="2" t="str">
        <f t="shared" si="1"/>
        <v>United States</v>
      </c>
      <c r="D8" s="2" t="str">
        <f t="shared" si="2"/>
        <v>English</v>
      </c>
      <c r="E8" s="2" t="str">
        <f t="shared" si="3"/>
        <v>Hip-Hop</v>
      </c>
      <c r="F8" s="2" t="str">
        <f t="shared" si="4"/>
        <v>Solo</v>
      </c>
      <c r="G8" s="2">
        <f t="shared" si="5"/>
        <v>2017</v>
      </c>
      <c r="H8" s="2">
        <f t="shared" si="6"/>
        <v>8240.2000000000007</v>
      </c>
      <c r="I8" s="2">
        <f t="shared" si="7"/>
        <v>6845.4</v>
      </c>
      <c r="J8" s="2">
        <f t="shared" si="8"/>
        <v>1394.8</v>
      </c>
      <c r="L8" s="5"/>
      <c r="M8" s="5"/>
    </row>
    <row r="9" spans="1:13" x14ac:dyDescent="0.45">
      <c r="A9" s="2" t="s">
        <v>516</v>
      </c>
      <c r="B9" s="2" t="str">
        <f t="shared" si="0"/>
        <v>Male</v>
      </c>
      <c r="C9" s="2" t="str">
        <f t="shared" si="1"/>
        <v>United States</v>
      </c>
      <c r="D9" s="2" t="str">
        <f t="shared" si="2"/>
        <v>English</v>
      </c>
      <c r="E9" s="2" t="str">
        <f t="shared" si="3"/>
        <v>R&amp;B</v>
      </c>
      <c r="F9" s="2" t="str">
        <f t="shared" si="4"/>
        <v>Solo</v>
      </c>
      <c r="G9" s="2">
        <f t="shared" si="5"/>
        <v>2016</v>
      </c>
      <c r="H9" s="2">
        <f t="shared" si="6"/>
        <v>7810.5</v>
      </c>
      <c r="I9" s="2">
        <f t="shared" si="7"/>
        <v>3575.2</v>
      </c>
      <c r="J9" s="2">
        <f t="shared" si="8"/>
        <v>4235.2</v>
      </c>
    </row>
    <row r="10" spans="1:13" x14ac:dyDescent="0.45">
      <c r="A10" s="2" t="s">
        <v>188</v>
      </c>
      <c r="B10" s="2" t="str">
        <f t="shared" si="0"/>
        <v>Male</v>
      </c>
      <c r="C10" s="2" t="str">
        <f t="shared" si="1"/>
        <v>United States</v>
      </c>
      <c r="D10" s="2" t="str">
        <f t="shared" si="2"/>
        <v>English</v>
      </c>
      <c r="E10" s="2" t="str">
        <f t="shared" si="3"/>
        <v>Hip-Hop</v>
      </c>
      <c r="F10" s="2" t="str">
        <f t="shared" si="4"/>
        <v>Solo</v>
      </c>
      <c r="G10" s="2">
        <f t="shared" si="5"/>
        <v>2016</v>
      </c>
      <c r="H10" s="2">
        <f t="shared" si="6"/>
        <v>16877.3</v>
      </c>
      <c r="I10" s="2">
        <f t="shared" si="7"/>
        <v>11425.9</v>
      </c>
      <c r="J10" s="2">
        <f t="shared" si="8"/>
        <v>5455.1</v>
      </c>
    </row>
    <row r="11" spans="1:13" x14ac:dyDescent="0.45">
      <c r="A11" s="2" t="s">
        <v>119</v>
      </c>
      <c r="B11" s="2" t="str">
        <f t="shared" si="0"/>
        <v>Male</v>
      </c>
      <c r="C11" s="2" t="str">
        <f t="shared" si="1"/>
        <v>United States</v>
      </c>
      <c r="D11" s="2" t="str">
        <f t="shared" si="2"/>
        <v>English</v>
      </c>
      <c r="E11" s="2" t="str">
        <f t="shared" si="3"/>
        <v>Hip-Hop</v>
      </c>
      <c r="F11" s="2" t="str">
        <f t="shared" si="4"/>
        <v>Solo</v>
      </c>
      <c r="G11" s="2">
        <f t="shared" si="5"/>
        <v>2011</v>
      </c>
      <c r="H11" s="2">
        <f t="shared" si="6"/>
        <v>24217.200000000001</v>
      </c>
      <c r="I11" s="2">
        <f t="shared" si="7"/>
        <v>14721.3</v>
      </c>
      <c r="J11" s="2">
        <f t="shared" si="8"/>
        <v>9504.2999999999993</v>
      </c>
    </row>
    <row r="12" spans="1:13" x14ac:dyDescent="0.45">
      <c r="A12" s="2" t="s">
        <v>218</v>
      </c>
      <c r="B12" s="2" t="str">
        <f t="shared" si="0"/>
        <v>Male</v>
      </c>
      <c r="C12" s="2" t="str">
        <f t="shared" si="1"/>
        <v>India</v>
      </c>
      <c r="D12" s="2" t="str">
        <f t="shared" si="2"/>
        <v>Tamil</v>
      </c>
      <c r="E12" s="2" t="str">
        <f t="shared" si="3"/>
        <v>Filmi</v>
      </c>
      <c r="F12" s="2" t="str">
        <f t="shared" si="4"/>
        <v>Solo</v>
      </c>
      <c r="G12" s="2">
        <f t="shared" si="5"/>
        <v>1992</v>
      </c>
      <c r="H12" s="2">
        <f t="shared" si="6"/>
        <v>15240.4</v>
      </c>
      <c r="I12" s="2">
        <f t="shared" si="7"/>
        <v>10857.5</v>
      </c>
      <c r="J12" s="2">
        <f t="shared" si="8"/>
        <v>4397.5</v>
      </c>
    </row>
    <row r="13" spans="1:13" x14ac:dyDescent="0.45">
      <c r="A13" s="2" t="s">
        <v>280</v>
      </c>
      <c r="B13" s="2" t="str">
        <f t="shared" si="0"/>
        <v>Mixed</v>
      </c>
      <c r="C13" s="2" t="str">
        <f t="shared" si="1"/>
        <v>Sweden</v>
      </c>
      <c r="D13" s="2" t="str">
        <f t="shared" si="2"/>
        <v>English</v>
      </c>
      <c r="E13" s="2" t="str">
        <f t="shared" si="3"/>
        <v>Pop</v>
      </c>
      <c r="F13" s="2" t="str">
        <f t="shared" si="4"/>
        <v>Group</v>
      </c>
      <c r="G13" s="2">
        <f t="shared" si="5"/>
        <v>1972</v>
      </c>
      <c r="H13" s="2">
        <f t="shared" si="6"/>
        <v>12992.2</v>
      </c>
      <c r="I13" s="2">
        <f t="shared" si="7"/>
        <v>10479.5</v>
      </c>
      <c r="J13" s="2">
        <f t="shared" si="8"/>
        <v>2516.3000000000002</v>
      </c>
    </row>
    <row r="14" spans="1:13" x14ac:dyDescent="0.45">
      <c r="A14" s="2" t="s">
        <v>184</v>
      </c>
      <c r="B14" s="2" t="str">
        <f t="shared" si="0"/>
        <v>Male</v>
      </c>
      <c r="C14" s="2" t="str">
        <f t="shared" si="1"/>
        <v>Australia</v>
      </c>
      <c r="D14" s="2" t="str">
        <f t="shared" si="2"/>
        <v>English</v>
      </c>
      <c r="E14" s="2" t="str">
        <f t="shared" si="3"/>
        <v>Rock</v>
      </c>
      <c r="F14" s="2" t="str">
        <f t="shared" si="4"/>
        <v>Group</v>
      </c>
      <c r="G14" s="2">
        <f t="shared" si="5"/>
        <v>1975</v>
      </c>
      <c r="H14" s="2">
        <f t="shared" si="6"/>
        <v>17010.5</v>
      </c>
      <c r="I14" s="2">
        <f t="shared" si="7"/>
        <v>17018</v>
      </c>
      <c r="J14" s="2">
        <f t="shared" si="8"/>
        <v>0</v>
      </c>
    </row>
    <row r="15" spans="1:13" x14ac:dyDescent="0.45">
      <c r="A15" s="2" t="s">
        <v>95</v>
      </c>
      <c r="B15" s="2" t="str">
        <f t="shared" si="0"/>
        <v>Female</v>
      </c>
      <c r="C15" s="2" t="str">
        <f t="shared" si="1"/>
        <v>United Kingdom</v>
      </c>
      <c r="D15" s="2" t="str">
        <f t="shared" si="2"/>
        <v>English</v>
      </c>
      <c r="E15" s="2" t="str">
        <f t="shared" si="3"/>
        <v>Pop</v>
      </c>
      <c r="F15" s="2" t="str">
        <f t="shared" si="4"/>
        <v>Solo</v>
      </c>
      <c r="G15" s="2">
        <f t="shared" si="5"/>
        <v>2008</v>
      </c>
      <c r="H15" s="2">
        <f t="shared" si="6"/>
        <v>28690.5</v>
      </c>
      <c r="I15" s="2">
        <f t="shared" si="7"/>
        <v>28699.5</v>
      </c>
      <c r="J15" s="2">
        <f t="shared" si="8"/>
        <v>0</v>
      </c>
    </row>
    <row r="16" spans="1:13" x14ac:dyDescent="0.45">
      <c r="A16" s="2" t="s">
        <v>485</v>
      </c>
      <c r="B16" s="2" t="str">
        <f t="shared" si="0"/>
        <v>Mixed</v>
      </c>
      <c r="C16" s="2" t="str">
        <f t="shared" si="1"/>
        <v>United States</v>
      </c>
      <c r="D16" s="2" t="str">
        <f t="shared" si="2"/>
        <v>English</v>
      </c>
      <c r="E16" s="2" t="str">
        <f t="shared" si="3"/>
        <v>Rock</v>
      </c>
      <c r="F16" s="2" t="str">
        <f t="shared" si="4"/>
        <v>Group</v>
      </c>
      <c r="G16" s="2">
        <f t="shared" si="5"/>
        <v>1973</v>
      </c>
      <c r="H16" s="2">
        <f t="shared" si="6"/>
        <v>8200.1</v>
      </c>
      <c r="I16" s="2">
        <f t="shared" si="7"/>
        <v>7224.1</v>
      </c>
      <c r="J16" s="2">
        <f t="shared" si="8"/>
        <v>979.3</v>
      </c>
    </row>
    <row r="17" spans="1:13" x14ac:dyDescent="0.45">
      <c r="A17" s="2" t="s">
        <v>182</v>
      </c>
      <c r="B17" s="2" t="str">
        <f t="shared" si="0"/>
        <v>Male</v>
      </c>
      <c r="C17" s="2" t="str">
        <f t="shared" si="1"/>
        <v>Senegal</v>
      </c>
      <c r="D17" s="2" t="str">
        <f t="shared" si="2"/>
        <v>English</v>
      </c>
      <c r="E17" s="2" t="str">
        <f t="shared" si="3"/>
        <v>R&amp;B</v>
      </c>
      <c r="F17" s="2" t="str">
        <f t="shared" si="4"/>
        <v>Solo</v>
      </c>
      <c r="G17" s="2">
        <f t="shared" si="5"/>
        <v>2004</v>
      </c>
      <c r="H17" s="2">
        <f t="shared" si="6"/>
        <v>17056</v>
      </c>
      <c r="I17" s="2">
        <f t="shared" si="7"/>
        <v>8007.4</v>
      </c>
      <c r="J17" s="2">
        <f t="shared" si="8"/>
        <v>9059.5</v>
      </c>
    </row>
    <row r="18" spans="1:13" x14ac:dyDescent="0.45">
      <c r="A18" s="2" t="s">
        <v>187</v>
      </c>
      <c r="B18" s="2" t="str">
        <f t="shared" si="0"/>
        <v>Male</v>
      </c>
      <c r="C18" s="2" t="str">
        <f t="shared" si="1"/>
        <v>Norway</v>
      </c>
      <c r="D18" s="2" t="str">
        <f t="shared" si="2"/>
        <v>English</v>
      </c>
      <c r="E18" s="2" t="str">
        <f t="shared" si="3"/>
        <v>EDM</v>
      </c>
      <c r="F18" s="2" t="str">
        <f t="shared" si="4"/>
        <v>Solo</v>
      </c>
      <c r="G18" s="2">
        <f t="shared" si="5"/>
        <v>2014</v>
      </c>
      <c r="H18" s="2">
        <f t="shared" si="6"/>
        <v>16893.400000000001</v>
      </c>
      <c r="I18" s="2">
        <f t="shared" si="7"/>
        <v>13879.3</v>
      </c>
      <c r="J18" s="2">
        <f t="shared" si="8"/>
        <v>3019.1</v>
      </c>
    </row>
    <row r="19" spans="1:13" x14ac:dyDescent="0.45">
      <c r="A19" s="2" t="s">
        <v>451</v>
      </c>
      <c r="B19" s="2" t="str">
        <f t="shared" si="0"/>
        <v>Male</v>
      </c>
      <c r="C19" s="2" t="str">
        <f t="shared" si="1"/>
        <v>Mexico</v>
      </c>
      <c r="D19" s="2" t="str">
        <f t="shared" si="2"/>
        <v>Spanish</v>
      </c>
      <c r="E19" s="2" t="str">
        <f t="shared" si="3"/>
        <v>Latin</v>
      </c>
      <c r="F19" s="2" t="str">
        <f t="shared" si="4"/>
        <v>Solo</v>
      </c>
      <c r="G19" s="2">
        <f t="shared" si="5"/>
        <v>1992</v>
      </c>
      <c r="H19" s="2">
        <f t="shared" si="6"/>
        <v>8617.1</v>
      </c>
      <c r="I19" s="2">
        <f t="shared" si="7"/>
        <v>7717.5</v>
      </c>
      <c r="J19" s="2">
        <f t="shared" si="8"/>
        <v>899.6</v>
      </c>
    </row>
    <row r="20" spans="1:13" x14ac:dyDescent="0.45">
      <c r="A20" s="2" t="s">
        <v>413</v>
      </c>
      <c r="B20" s="2" t="str">
        <f t="shared" si="0"/>
        <v>Male</v>
      </c>
      <c r="C20" s="2" t="str">
        <f t="shared" si="1"/>
        <v>Spain</v>
      </c>
      <c r="D20" s="2" t="str">
        <f t="shared" si="2"/>
        <v>Spanish</v>
      </c>
      <c r="E20" s="2" t="str">
        <f t="shared" si="3"/>
        <v>Latin</v>
      </c>
      <c r="F20" s="2" t="str">
        <f t="shared" si="4"/>
        <v>Solo</v>
      </c>
      <c r="G20" s="2">
        <f t="shared" si="5"/>
        <v>1989</v>
      </c>
      <c r="H20" s="2">
        <f t="shared" si="6"/>
        <v>9340.1</v>
      </c>
      <c r="I20" s="2">
        <f t="shared" si="7"/>
        <v>6691.7</v>
      </c>
      <c r="J20" s="2">
        <f t="shared" si="8"/>
        <v>2658.2</v>
      </c>
      <c r="M20" s="9"/>
    </row>
    <row r="21" spans="1:13" x14ac:dyDescent="0.45">
      <c r="A21" s="2" t="s">
        <v>376</v>
      </c>
      <c r="B21" s="2" t="str">
        <f t="shared" si="0"/>
        <v>Female</v>
      </c>
      <c r="C21" s="2" t="str">
        <f t="shared" si="1"/>
        <v>Canada</v>
      </c>
      <c r="D21" s="2" t="str">
        <f t="shared" si="2"/>
        <v>English</v>
      </c>
      <c r="E21" s="2" t="str">
        <f t="shared" si="3"/>
        <v>Pop</v>
      </c>
      <c r="F21" s="2" t="str">
        <f t="shared" si="4"/>
        <v>Solo</v>
      </c>
      <c r="G21" s="2">
        <f t="shared" si="5"/>
        <v>2015</v>
      </c>
      <c r="H21" s="2">
        <f t="shared" si="6"/>
        <v>10179.299999999999</v>
      </c>
      <c r="I21" s="2">
        <f t="shared" si="7"/>
        <v>6431.1</v>
      </c>
      <c r="J21" s="2">
        <f t="shared" si="8"/>
        <v>3750.4</v>
      </c>
    </row>
    <row r="22" spans="1:13" x14ac:dyDescent="0.45">
      <c r="A22" s="2" t="s">
        <v>519</v>
      </c>
      <c r="B22" s="2" t="str">
        <f t="shared" si="0"/>
        <v>Male</v>
      </c>
      <c r="C22" s="2" t="str">
        <f t="shared" si="1"/>
        <v>Sweden</v>
      </c>
      <c r="D22" s="2" t="str">
        <f t="shared" si="2"/>
        <v>English</v>
      </c>
      <c r="E22" s="2" t="str">
        <f t="shared" si="3"/>
        <v>EDM</v>
      </c>
      <c r="F22" s="2" t="str">
        <f t="shared" si="4"/>
        <v>Solo</v>
      </c>
      <c r="G22" s="2">
        <f t="shared" si="5"/>
        <v>2010</v>
      </c>
      <c r="H22" s="2">
        <f t="shared" si="6"/>
        <v>7765.7</v>
      </c>
      <c r="I22" s="2">
        <f t="shared" si="7"/>
        <v>4434.2</v>
      </c>
      <c r="J22" s="2">
        <f t="shared" si="8"/>
        <v>3331.5</v>
      </c>
    </row>
    <row r="23" spans="1:13" x14ac:dyDescent="0.45">
      <c r="A23" s="2" t="s">
        <v>432</v>
      </c>
      <c r="B23" s="2" t="str">
        <f t="shared" si="0"/>
        <v>Male</v>
      </c>
      <c r="C23" s="2" t="str">
        <f t="shared" si="1"/>
        <v>Mexico</v>
      </c>
      <c r="D23" s="2" t="str">
        <f t="shared" si="2"/>
        <v>Spanish</v>
      </c>
      <c r="E23" s="2" t="str">
        <f t="shared" si="3"/>
        <v>Regional Mexican</v>
      </c>
      <c r="F23" s="2" t="str">
        <f t="shared" si="4"/>
        <v>Solo</v>
      </c>
      <c r="G23" s="2">
        <f t="shared" si="5"/>
        <v>2011</v>
      </c>
      <c r="H23" s="2">
        <f t="shared" si="6"/>
        <v>8916</v>
      </c>
      <c r="I23" s="2">
        <f t="shared" si="7"/>
        <v>8080</v>
      </c>
      <c r="J23" s="2">
        <f t="shared" si="8"/>
        <v>844.9</v>
      </c>
    </row>
    <row r="24" spans="1:13" x14ac:dyDescent="0.45">
      <c r="A24" s="2" t="s">
        <v>304</v>
      </c>
      <c r="B24" s="2" t="str">
        <f t="shared" si="0"/>
        <v>Female</v>
      </c>
      <c r="C24" s="2" t="str">
        <f t="shared" si="1"/>
        <v>United States</v>
      </c>
      <c r="D24" s="2" t="str">
        <f t="shared" si="2"/>
        <v>English</v>
      </c>
      <c r="E24" s="2" t="str">
        <f t="shared" si="3"/>
        <v>R&amp;B</v>
      </c>
      <c r="F24" s="2" t="str">
        <f t="shared" si="4"/>
        <v>Solo</v>
      </c>
      <c r="G24" s="2">
        <f t="shared" si="5"/>
        <v>2001</v>
      </c>
      <c r="H24" s="2">
        <f t="shared" si="6"/>
        <v>12099.6</v>
      </c>
      <c r="I24" s="2">
        <f t="shared" si="7"/>
        <v>8350.5</v>
      </c>
      <c r="J24" s="2">
        <f t="shared" si="8"/>
        <v>3754.7</v>
      </c>
    </row>
    <row r="25" spans="1:13" x14ac:dyDescent="0.45">
      <c r="A25" s="2" t="s">
        <v>428</v>
      </c>
      <c r="B25" s="2" t="str">
        <f t="shared" si="0"/>
        <v>Female</v>
      </c>
      <c r="C25" s="2" t="str">
        <f t="shared" si="1"/>
        <v>India</v>
      </c>
      <c r="D25" s="2" t="str">
        <f t="shared" si="2"/>
        <v>Hindi</v>
      </c>
      <c r="E25" s="2" t="str">
        <f t="shared" si="3"/>
        <v>Filmi</v>
      </c>
      <c r="F25" s="2" t="str">
        <f t="shared" si="4"/>
        <v>Solo</v>
      </c>
      <c r="G25" s="2">
        <f t="shared" si="5"/>
        <v>1980</v>
      </c>
      <c r="H25" s="2">
        <f t="shared" si="6"/>
        <v>8988.2000000000007</v>
      </c>
      <c r="I25" s="2">
        <f t="shared" si="7"/>
        <v>2897.2</v>
      </c>
      <c r="J25" s="2">
        <f t="shared" si="8"/>
        <v>6102.8</v>
      </c>
    </row>
    <row r="26" spans="1:13" x14ac:dyDescent="0.45">
      <c r="A26" s="2" t="s">
        <v>382</v>
      </c>
      <c r="B26" s="2" t="str">
        <f t="shared" si="0"/>
        <v>Male</v>
      </c>
      <c r="C26" s="2" t="str">
        <f t="shared" si="1"/>
        <v>Brazil</v>
      </c>
      <c r="D26" s="2" t="str">
        <f t="shared" si="2"/>
        <v>Portuguese</v>
      </c>
      <c r="E26" s="2" t="str">
        <f t="shared" si="3"/>
        <v>EDM</v>
      </c>
      <c r="F26" s="2" t="str">
        <f t="shared" si="4"/>
        <v>Solo</v>
      </c>
      <c r="G26" s="2">
        <f t="shared" si="5"/>
        <v>2004</v>
      </c>
      <c r="H26" s="2">
        <f t="shared" si="6"/>
        <v>10115.700000000001</v>
      </c>
      <c r="I26" s="2">
        <f t="shared" si="7"/>
        <v>9351.5</v>
      </c>
      <c r="J26" s="2">
        <f t="shared" si="8"/>
        <v>766.2</v>
      </c>
    </row>
    <row r="27" spans="1:13" x14ac:dyDescent="0.45">
      <c r="A27" s="2" t="s">
        <v>303</v>
      </c>
      <c r="B27" s="2" t="str">
        <f t="shared" si="0"/>
        <v>Male</v>
      </c>
      <c r="C27" s="2" t="str">
        <f t="shared" si="1"/>
        <v>India</v>
      </c>
      <c r="D27" s="2" t="str">
        <f t="shared" si="2"/>
        <v>Hindi</v>
      </c>
      <c r="E27" s="2" t="str">
        <f t="shared" si="3"/>
        <v>Filmi</v>
      </c>
      <c r="F27" s="2" t="str">
        <f t="shared" si="4"/>
        <v>Solo</v>
      </c>
      <c r="G27" s="2">
        <f t="shared" si="5"/>
        <v>2008</v>
      </c>
      <c r="H27" s="2">
        <f t="shared" si="6"/>
        <v>12136.7</v>
      </c>
      <c r="I27" s="2">
        <f t="shared" si="7"/>
        <v>8.4</v>
      </c>
      <c r="J27" s="2">
        <f t="shared" si="8"/>
        <v>12135.9</v>
      </c>
    </row>
    <row r="28" spans="1:13" x14ac:dyDescent="0.45">
      <c r="A28" s="2" t="s">
        <v>441</v>
      </c>
      <c r="B28" s="2" t="str">
        <f t="shared" si="0"/>
        <v>Female</v>
      </c>
      <c r="C28" s="2" t="str">
        <f t="shared" si="1"/>
        <v>United Kingdom</v>
      </c>
      <c r="D28" s="2" t="str">
        <f t="shared" si="2"/>
        <v>English</v>
      </c>
      <c r="E28" s="2" t="str">
        <f t="shared" si="3"/>
        <v>Soul</v>
      </c>
      <c r="F28" s="2" t="str">
        <f t="shared" si="4"/>
        <v>Solo</v>
      </c>
      <c r="G28" s="2">
        <f t="shared" si="5"/>
        <v>2003</v>
      </c>
      <c r="H28" s="2">
        <f t="shared" si="6"/>
        <v>8780.4</v>
      </c>
      <c r="I28" s="2">
        <f t="shared" si="7"/>
        <v>8238.2000000000007</v>
      </c>
      <c r="J28" s="2">
        <f t="shared" si="8"/>
        <v>547.70000000000005</v>
      </c>
    </row>
    <row r="29" spans="1:13" x14ac:dyDescent="0.45">
      <c r="A29" s="2" t="s">
        <v>542</v>
      </c>
      <c r="B29" s="2" t="str">
        <f t="shared" si="0"/>
        <v>Female</v>
      </c>
      <c r="C29" s="2" t="str">
        <f t="shared" si="1"/>
        <v>Brazil</v>
      </c>
      <c r="D29" s="2" t="str">
        <f t="shared" si="2"/>
        <v>Portuguese</v>
      </c>
      <c r="E29" s="2" t="str">
        <f t="shared" si="3"/>
        <v>Sertanjeo</v>
      </c>
      <c r="F29" s="2" t="str">
        <f t="shared" si="4"/>
        <v>Solo</v>
      </c>
      <c r="G29" s="2">
        <f t="shared" si="5"/>
        <v>2021</v>
      </c>
      <c r="H29" s="2">
        <f t="shared" si="6"/>
        <v>7467.3</v>
      </c>
      <c r="I29" s="2">
        <f t="shared" si="7"/>
        <v>7464.6</v>
      </c>
      <c r="J29" s="2">
        <f t="shared" si="8"/>
        <v>26</v>
      </c>
    </row>
    <row r="30" spans="1:13" x14ac:dyDescent="0.45">
      <c r="A30" s="2" t="s">
        <v>405</v>
      </c>
      <c r="B30" s="2" t="str">
        <f t="shared" si="0"/>
        <v>Male</v>
      </c>
      <c r="C30" s="2" t="str">
        <f t="shared" si="1"/>
        <v>United States</v>
      </c>
      <c r="D30" s="2" t="str">
        <f t="shared" si="2"/>
        <v>English</v>
      </c>
      <c r="E30" s="2" t="str">
        <f t="shared" si="3"/>
        <v>R&amp;B</v>
      </c>
      <c r="F30" s="2" t="str">
        <f t="shared" si="4"/>
        <v>Solo</v>
      </c>
      <c r="G30" s="2">
        <f t="shared" si="5"/>
        <v>2014</v>
      </c>
      <c r="H30" s="2">
        <f t="shared" si="6"/>
        <v>9513.7000000000007</v>
      </c>
      <c r="I30" s="2">
        <f t="shared" si="7"/>
        <v>9454.2999999999993</v>
      </c>
      <c r="J30" s="2">
        <f t="shared" si="8"/>
        <v>63.4</v>
      </c>
    </row>
    <row r="31" spans="1:13" x14ac:dyDescent="0.45">
      <c r="A31" s="2" t="s">
        <v>225</v>
      </c>
      <c r="B31" s="2" t="str">
        <f t="shared" si="0"/>
        <v>Male</v>
      </c>
      <c r="C31" s="2" t="str">
        <f t="shared" si="1"/>
        <v>India</v>
      </c>
      <c r="D31" s="2" t="str">
        <f t="shared" si="2"/>
        <v>Tamil</v>
      </c>
      <c r="E31" s="2" t="str">
        <f t="shared" si="3"/>
        <v>Filmi</v>
      </c>
      <c r="F31" s="2" t="str">
        <f t="shared" si="4"/>
        <v>Solo</v>
      </c>
      <c r="G31" s="2">
        <f t="shared" si="5"/>
        <v>2012</v>
      </c>
      <c r="H31" s="2">
        <f t="shared" si="6"/>
        <v>14897.8</v>
      </c>
      <c r="I31" s="2">
        <f t="shared" si="7"/>
        <v>12456.5</v>
      </c>
      <c r="J31" s="2">
        <f t="shared" si="8"/>
        <v>2450</v>
      </c>
    </row>
    <row r="32" spans="1:13" x14ac:dyDescent="0.45">
      <c r="A32" s="2" t="s">
        <v>214</v>
      </c>
      <c r="B32" s="2" t="str">
        <f t="shared" si="0"/>
        <v>Female</v>
      </c>
      <c r="C32" s="2" t="str">
        <f t="shared" si="1"/>
        <v>Brazil</v>
      </c>
      <c r="D32" s="2" t="str">
        <f t="shared" si="2"/>
        <v>Portuguese</v>
      </c>
      <c r="E32" s="2" t="str">
        <f t="shared" si="3"/>
        <v>Pop</v>
      </c>
      <c r="F32" s="2" t="str">
        <f t="shared" si="4"/>
        <v>Solo</v>
      </c>
      <c r="G32" s="2">
        <f t="shared" si="5"/>
        <v>2012</v>
      </c>
      <c r="H32" s="2">
        <f t="shared" si="6"/>
        <v>15525.6</v>
      </c>
      <c r="I32" s="2">
        <f t="shared" si="7"/>
        <v>11131.7</v>
      </c>
      <c r="J32" s="2">
        <f t="shared" si="8"/>
        <v>4374.8</v>
      </c>
    </row>
    <row r="33" spans="1:10" x14ac:dyDescent="0.45">
      <c r="A33" s="2" t="s">
        <v>295</v>
      </c>
      <c r="B33" s="2" t="str">
        <f t="shared" si="0"/>
        <v>Female</v>
      </c>
      <c r="C33" s="2" t="str">
        <f t="shared" si="1"/>
        <v>United Kingdom</v>
      </c>
      <c r="D33" s="2" t="str">
        <f t="shared" si="2"/>
        <v>English</v>
      </c>
      <c r="E33" s="2" t="str">
        <f t="shared" si="3"/>
        <v>Pop</v>
      </c>
      <c r="F33" s="2" t="str">
        <f t="shared" si="4"/>
        <v>Solo</v>
      </c>
      <c r="G33" s="2">
        <f t="shared" si="5"/>
        <v>2013</v>
      </c>
      <c r="H33" s="2">
        <f t="shared" si="6"/>
        <v>12593</v>
      </c>
      <c r="I33" s="2">
        <f t="shared" si="7"/>
        <v>12542.7</v>
      </c>
      <c r="J33" s="2">
        <f t="shared" si="8"/>
        <v>29.5</v>
      </c>
    </row>
    <row r="34" spans="1:10" x14ac:dyDescent="0.45">
      <c r="A34" s="2" t="s">
        <v>51</v>
      </c>
      <c r="B34" s="2" t="str">
        <f t="shared" si="0"/>
        <v>Male</v>
      </c>
      <c r="C34" s="2" t="str">
        <f t="shared" si="1"/>
        <v>United States</v>
      </c>
      <c r="D34" s="2" t="str">
        <f t="shared" si="2"/>
        <v>Spanish</v>
      </c>
      <c r="E34" s="2" t="str">
        <f t="shared" si="3"/>
        <v>Reggaeton</v>
      </c>
      <c r="F34" s="2" t="str">
        <f t="shared" si="4"/>
        <v>Solo</v>
      </c>
      <c r="G34" s="2">
        <f t="shared" si="5"/>
        <v>2011</v>
      </c>
      <c r="H34" s="2">
        <f t="shared" si="6"/>
        <v>40453.300000000003</v>
      </c>
      <c r="I34" s="2">
        <f t="shared" si="7"/>
        <v>18355.599999999999</v>
      </c>
      <c r="J34" s="2">
        <f t="shared" si="8"/>
        <v>22118.9</v>
      </c>
    </row>
    <row r="35" spans="1:10" x14ac:dyDescent="0.45">
      <c r="A35" s="2" t="s">
        <v>127</v>
      </c>
      <c r="B35" s="2" t="str">
        <f t="shared" si="0"/>
        <v>Male</v>
      </c>
      <c r="C35" s="2" t="str">
        <f t="shared" si="1"/>
        <v>United States</v>
      </c>
      <c r="D35" s="2" t="str">
        <f t="shared" si="2"/>
        <v>Spanish</v>
      </c>
      <c r="E35" s="2" t="str">
        <f t="shared" si="3"/>
        <v>Reggaeton</v>
      </c>
      <c r="F35" s="2" t="str">
        <f t="shared" si="4"/>
        <v>Solo</v>
      </c>
      <c r="G35" s="2">
        <f t="shared" si="5"/>
        <v>2004</v>
      </c>
      <c r="H35" s="2">
        <f t="shared" si="6"/>
        <v>21937.3</v>
      </c>
      <c r="I35" s="2">
        <f t="shared" si="7"/>
        <v>8927.4</v>
      </c>
      <c r="J35" s="2">
        <f t="shared" si="8"/>
        <v>13023.3</v>
      </c>
    </row>
    <row r="36" spans="1:10" x14ac:dyDescent="0.45">
      <c r="A36" s="2" t="s">
        <v>99</v>
      </c>
      <c r="B36" s="2" t="str">
        <f t="shared" si="0"/>
        <v>Male</v>
      </c>
      <c r="C36" s="2" t="str">
        <f t="shared" si="1"/>
        <v>United Kingdom</v>
      </c>
      <c r="D36" s="2" t="str">
        <f t="shared" si="2"/>
        <v>English</v>
      </c>
      <c r="E36" s="2" t="str">
        <f t="shared" si="3"/>
        <v>Rock</v>
      </c>
      <c r="F36" s="2" t="str">
        <f t="shared" si="4"/>
        <v>Group</v>
      </c>
      <c r="G36" s="2">
        <f t="shared" si="5"/>
        <v>2005</v>
      </c>
      <c r="H36" s="2">
        <f t="shared" si="6"/>
        <v>28155.4</v>
      </c>
      <c r="I36" s="2">
        <f t="shared" si="7"/>
        <v>28166.2</v>
      </c>
      <c r="J36" s="2">
        <f t="shared" si="8"/>
        <v>0</v>
      </c>
    </row>
    <row r="37" spans="1:10" x14ac:dyDescent="0.45">
      <c r="A37" s="2" t="s">
        <v>16</v>
      </c>
      <c r="B37" s="2" t="str">
        <f t="shared" si="0"/>
        <v>Female</v>
      </c>
      <c r="C37" s="2" t="str">
        <f t="shared" si="1"/>
        <v>United States</v>
      </c>
      <c r="D37" s="2" t="str">
        <f t="shared" si="2"/>
        <v>English</v>
      </c>
      <c r="E37" s="2" t="str">
        <f t="shared" si="3"/>
        <v>Pop</v>
      </c>
      <c r="F37" s="2" t="str">
        <f t="shared" si="4"/>
        <v>Solo</v>
      </c>
      <c r="G37" s="2">
        <f t="shared" si="5"/>
        <v>2013</v>
      </c>
      <c r="H37" s="2">
        <f t="shared" si="6"/>
        <v>68298.899999999994</v>
      </c>
      <c r="I37" s="2">
        <f t="shared" si="7"/>
        <v>57097.5</v>
      </c>
      <c r="J37" s="2">
        <f t="shared" si="8"/>
        <v>11201.4</v>
      </c>
    </row>
    <row r="38" spans="1:10" x14ac:dyDescent="0.45">
      <c r="A38" s="2" t="s">
        <v>57</v>
      </c>
      <c r="B38" s="2" t="str">
        <f t="shared" si="0"/>
        <v>Male</v>
      </c>
      <c r="C38" s="2" t="str">
        <f t="shared" si="1"/>
        <v>India</v>
      </c>
      <c r="D38" s="2" t="str">
        <f t="shared" si="2"/>
        <v>Hindi</v>
      </c>
      <c r="E38" s="2" t="str">
        <f t="shared" si="3"/>
        <v>Filmi</v>
      </c>
      <c r="F38" s="2" t="str">
        <f t="shared" si="4"/>
        <v>Solo</v>
      </c>
      <c r="G38" s="2">
        <f t="shared" si="5"/>
        <v>2011</v>
      </c>
      <c r="H38" s="2">
        <f t="shared" si="6"/>
        <v>37687.800000000003</v>
      </c>
      <c r="I38" s="2">
        <f t="shared" si="7"/>
        <v>13330.4</v>
      </c>
      <c r="J38" s="2">
        <f t="shared" si="8"/>
        <v>24384.799999999999</v>
      </c>
    </row>
    <row r="39" spans="1:10" x14ac:dyDescent="0.45">
      <c r="A39" s="2" t="s">
        <v>503</v>
      </c>
      <c r="B39" s="2" t="str">
        <f t="shared" si="0"/>
        <v>Male</v>
      </c>
      <c r="C39" s="2" t="str">
        <f t="shared" si="1"/>
        <v>Pakistan</v>
      </c>
      <c r="D39" s="2" t="str">
        <f t="shared" si="2"/>
        <v>Urdu</v>
      </c>
      <c r="E39" s="2" t="str">
        <f t="shared" si="3"/>
        <v>Pop</v>
      </c>
      <c r="F39" s="2" t="str">
        <f t="shared" si="4"/>
        <v>Solo</v>
      </c>
      <c r="G39" s="2">
        <f t="shared" si="5"/>
        <v>2002</v>
      </c>
      <c r="H39" s="2">
        <f t="shared" si="6"/>
        <v>7934.5</v>
      </c>
      <c r="I39" s="2">
        <f t="shared" si="7"/>
        <v>2022.8</v>
      </c>
      <c r="J39" s="2">
        <f t="shared" si="8"/>
        <v>5906</v>
      </c>
    </row>
    <row r="40" spans="1:10" x14ac:dyDescent="0.45">
      <c r="A40" s="2" t="s">
        <v>291</v>
      </c>
      <c r="B40" s="2" t="str">
        <f t="shared" si="0"/>
        <v>Female</v>
      </c>
      <c r="C40" s="2" t="str">
        <f t="shared" si="1"/>
        <v>United States</v>
      </c>
      <c r="D40" s="2" t="str">
        <f t="shared" si="2"/>
        <v>English</v>
      </c>
      <c r="E40" s="2" t="str">
        <f t="shared" si="3"/>
        <v>Pop</v>
      </c>
      <c r="F40" s="2" t="str">
        <f t="shared" si="4"/>
        <v>Solo</v>
      </c>
      <c r="G40" s="2">
        <f t="shared" si="5"/>
        <v>2008</v>
      </c>
      <c r="H40" s="2">
        <f t="shared" si="6"/>
        <v>12700.7</v>
      </c>
      <c r="I40" s="2">
        <f t="shared" si="7"/>
        <v>8281.2000000000007</v>
      </c>
      <c r="J40" s="2">
        <f t="shared" si="8"/>
        <v>4423.1000000000004</v>
      </c>
    </row>
    <row r="41" spans="1:10" x14ac:dyDescent="0.45">
      <c r="A41" s="2" t="s">
        <v>510</v>
      </c>
      <c r="B41" s="2" t="str">
        <f t="shared" si="0"/>
        <v>Male</v>
      </c>
      <c r="C41" s="2" t="str">
        <f t="shared" si="1"/>
        <v>United States</v>
      </c>
      <c r="D41" s="2" t="str">
        <f t="shared" si="2"/>
        <v>English</v>
      </c>
      <c r="E41" s="2" t="str">
        <f t="shared" si="3"/>
        <v>Metal</v>
      </c>
      <c r="F41" s="2" t="str">
        <f t="shared" si="4"/>
        <v>Group</v>
      </c>
      <c r="G41" s="2">
        <f t="shared" si="5"/>
        <v>2001</v>
      </c>
      <c r="H41" s="2">
        <f t="shared" si="6"/>
        <v>7871.9</v>
      </c>
      <c r="I41" s="2">
        <f t="shared" si="7"/>
        <v>7152</v>
      </c>
      <c r="J41" s="2">
        <f t="shared" si="8"/>
        <v>706.6</v>
      </c>
    </row>
    <row r="42" spans="1:10" x14ac:dyDescent="0.45">
      <c r="A42" s="2" t="s">
        <v>360</v>
      </c>
      <c r="B42" s="2" t="str">
        <f t="shared" si="0"/>
        <v>Male</v>
      </c>
      <c r="C42" s="2" t="str">
        <f t="shared" si="1"/>
        <v>United States</v>
      </c>
      <c r="D42" s="2" t="str">
        <f t="shared" si="2"/>
        <v>Spanish</v>
      </c>
      <c r="E42" s="2" t="str">
        <f t="shared" si="3"/>
        <v>Bachata</v>
      </c>
      <c r="F42" s="2" t="str">
        <f t="shared" si="4"/>
        <v>Group</v>
      </c>
      <c r="G42" s="2">
        <f t="shared" si="5"/>
        <v>1996</v>
      </c>
      <c r="H42" s="2">
        <f t="shared" si="6"/>
        <v>10607</v>
      </c>
      <c r="I42" s="2">
        <f t="shared" si="7"/>
        <v>10520.3</v>
      </c>
      <c r="J42" s="2">
        <f t="shared" si="8"/>
        <v>92.7</v>
      </c>
    </row>
    <row r="43" spans="1:10" x14ac:dyDescent="0.45">
      <c r="A43" s="2" t="s">
        <v>133</v>
      </c>
      <c r="B43" s="2" t="str">
        <f t="shared" si="0"/>
        <v>Male</v>
      </c>
      <c r="C43" s="2" t="str">
        <f t="shared" si="1"/>
        <v>Sweden</v>
      </c>
      <c r="D43" s="2" t="str">
        <f t="shared" si="2"/>
        <v>English</v>
      </c>
      <c r="E43" s="2" t="str">
        <f t="shared" si="3"/>
        <v>EDM</v>
      </c>
      <c r="F43" s="2" t="str">
        <f t="shared" si="4"/>
        <v>Solo</v>
      </c>
      <c r="G43" s="2">
        <f t="shared" si="5"/>
        <v>2006</v>
      </c>
      <c r="H43" s="2">
        <f t="shared" si="6"/>
        <v>21003.5</v>
      </c>
      <c r="I43" s="2">
        <f t="shared" si="7"/>
        <v>20142.3</v>
      </c>
      <c r="J43" s="2">
        <f t="shared" si="8"/>
        <v>867.4</v>
      </c>
    </row>
    <row r="44" spans="1:10" x14ac:dyDescent="0.45">
      <c r="A44" s="2" t="s">
        <v>446</v>
      </c>
      <c r="B44" s="2" t="str">
        <f t="shared" si="0"/>
        <v>Female</v>
      </c>
      <c r="C44" s="2" t="str">
        <f t="shared" si="1"/>
        <v>Canada</v>
      </c>
      <c r="D44" s="2" t="str">
        <f t="shared" si="2"/>
        <v>English</v>
      </c>
      <c r="E44" s="2" t="str">
        <f t="shared" si="3"/>
        <v>Pop</v>
      </c>
      <c r="F44" s="2" t="str">
        <f t="shared" si="4"/>
        <v>Solo</v>
      </c>
      <c r="G44" s="2">
        <f t="shared" si="5"/>
        <v>2002</v>
      </c>
      <c r="H44" s="2">
        <f t="shared" si="6"/>
        <v>8706.4</v>
      </c>
      <c r="I44" s="2">
        <f t="shared" si="7"/>
        <v>8477.2999999999993</v>
      </c>
      <c r="J44" s="2">
        <f t="shared" si="8"/>
        <v>233</v>
      </c>
    </row>
    <row r="45" spans="1:10" x14ac:dyDescent="0.45">
      <c r="A45" s="2" t="s">
        <v>545</v>
      </c>
      <c r="B45" s="2" t="str">
        <f t="shared" si="0"/>
        <v>Male</v>
      </c>
      <c r="C45" s="2" t="str">
        <f t="shared" si="1"/>
        <v>United States</v>
      </c>
      <c r="D45" s="2" t="str">
        <f t="shared" si="2"/>
        <v>English</v>
      </c>
      <c r="E45" s="2" t="str">
        <f t="shared" si="3"/>
        <v>Hip-Hop</v>
      </c>
      <c r="F45" s="2" t="str">
        <f t="shared" si="4"/>
        <v>Solo</v>
      </c>
      <c r="G45" s="2">
        <f t="shared" si="5"/>
        <v>2007</v>
      </c>
      <c r="H45" s="2">
        <f t="shared" si="6"/>
        <v>7431.9</v>
      </c>
      <c r="I45" s="2">
        <f t="shared" si="7"/>
        <v>6391.9</v>
      </c>
      <c r="J45" s="2">
        <f t="shared" si="8"/>
        <v>1058.7</v>
      </c>
    </row>
    <row r="46" spans="1:10" x14ac:dyDescent="0.45">
      <c r="A46" s="2" t="s">
        <v>460</v>
      </c>
      <c r="B46" s="2" t="str">
        <f t="shared" si="0"/>
        <v>Mixed</v>
      </c>
      <c r="C46" s="2" t="str">
        <f t="shared" si="1"/>
        <v>United States</v>
      </c>
      <c r="D46" s="2" t="str">
        <f t="shared" si="2"/>
        <v>English</v>
      </c>
      <c r="E46" s="2" t="str">
        <f t="shared" si="3"/>
        <v>Pop</v>
      </c>
      <c r="F46" s="2" t="str">
        <f t="shared" si="4"/>
        <v>Group</v>
      </c>
      <c r="G46" s="2">
        <f t="shared" si="5"/>
        <v>1996</v>
      </c>
      <c r="H46" s="2">
        <f t="shared" si="6"/>
        <v>8485.9</v>
      </c>
      <c r="I46" s="2">
        <f t="shared" si="7"/>
        <v>8144</v>
      </c>
      <c r="J46" s="2">
        <f t="shared" si="8"/>
        <v>346</v>
      </c>
    </row>
    <row r="47" spans="1:10" x14ac:dyDescent="0.45">
      <c r="A47" s="2" t="s">
        <v>10</v>
      </c>
      <c r="B47" s="2" t="str">
        <f t="shared" si="0"/>
        <v>Male</v>
      </c>
      <c r="C47" s="2" t="str">
        <f t="shared" si="1"/>
        <v>United States</v>
      </c>
      <c r="D47" s="2" t="str">
        <f t="shared" si="2"/>
        <v>Spanish</v>
      </c>
      <c r="E47" s="2" t="str">
        <f t="shared" si="3"/>
        <v>Reggaeton</v>
      </c>
      <c r="F47" s="2" t="str">
        <f t="shared" si="4"/>
        <v>Solo</v>
      </c>
      <c r="G47" s="2">
        <f t="shared" si="5"/>
        <v>2013</v>
      </c>
      <c r="H47" s="2">
        <f t="shared" si="6"/>
        <v>125899.8</v>
      </c>
      <c r="I47" s="2">
        <f t="shared" si="7"/>
        <v>82189.3</v>
      </c>
      <c r="J47" s="2">
        <f t="shared" si="8"/>
        <v>43710.5</v>
      </c>
    </row>
    <row r="48" spans="1:10" x14ac:dyDescent="0.45">
      <c r="A48" s="2" t="s">
        <v>264</v>
      </c>
      <c r="B48" s="2" t="str">
        <f t="shared" si="0"/>
        <v>Male</v>
      </c>
      <c r="C48" s="2" t="str">
        <f t="shared" si="1"/>
        <v>Mexico</v>
      </c>
      <c r="D48" s="2" t="str">
        <f t="shared" si="2"/>
        <v>Spanish</v>
      </c>
      <c r="E48" s="2" t="str">
        <f t="shared" si="3"/>
        <v>Regional Mexican</v>
      </c>
      <c r="F48" s="2" t="str">
        <f t="shared" si="4"/>
        <v>Group</v>
      </c>
      <c r="G48" s="2">
        <f t="shared" si="5"/>
        <v>2003</v>
      </c>
      <c r="H48" s="2">
        <f t="shared" si="6"/>
        <v>13433.6</v>
      </c>
      <c r="I48" s="2">
        <f t="shared" si="7"/>
        <v>12366.7</v>
      </c>
      <c r="J48" s="2">
        <f t="shared" si="8"/>
        <v>1072.9000000000001</v>
      </c>
    </row>
    <row r="49" spans="1:10" x14ac:dyDescent="0.45">
      <c r="A49" s="2" t="s">
        <v>409</v>
      </c>
      <c r="B49" s="2" t="str">
        <f t="shared" si="0"/>
        <v>Male</v>
      </c>
      <c r="C49" s="2" t="str">
        <f t="shared" si="1"/>
        <v>United Kingdom</v>
      </c>
      <c r="D49" s="2" t="str">
        <f t="shared" si="2"/>
        <v>English</v>
      </c>
      <c r="E49" s="2" t="str">
        <f t="shared" si="3"/>
        <v>Alternative</v>
      </c>
      <c r="F49" s="2" t="str">
        <f t="shared" si="4"/>
        <v>Group</v>
      </c>
      <c r="G49" s="2">
        <f t="shared" si="5"/>
        <v>2010</v>
      </c>
      <c r="H49" s="2">
        <f t="shared" si="6"/>
        <v>9439.9</v>
      </c>
      <c r="I49" s="2">
        <f t="shared" si="7"/>
        <v>4498.2</v>
      </c>
      <c r="J49" s="2">
        <f t="shared" si="8"/>
        <v>4948.6000000000004</v>
      </c>
    </row>
    <row r="50" spans="1:10" x14ac:dyDescent="0.45">
      <c r="A50" s="2" t="s">
        <v>534</v>
      </c>
      <c r="B50" s="2" t="str">
        <f t="shared" si="0"/>
        <v>Female</v>
      </c>
      <c r="C50" s="2" t="str">
        <f t="shared" si="1"/>
        <v>Philippines</v>
      </c>
      <c r="D50" s="2" t="str">
        <f t="shared" si="2"/>
        <v>English</v>
      </c>
      <c r="E50" s="2" t="str">
        <f t="shared" si="3"/>
        <v>Rock</v>
      </c>
      <c r="F50" s="2" t="str">
        <f t="shared" si="4"/>
        <v>Solo</v>
      </c>
      <c r="G50" s="2">
        <f t="shared" si="5"/>
        <v>2017</v>
      </c>
      <c r="H50" s="2">
        <f t="shared" si="6"/>
        <v>7552.8</v>
      </c>
      <c r="I50" s="2">
        <f t="shared" si="7"/>
        <v>5418.1</v>
      </c>
      <c r="J50" s="2">
        <f t="shared" si="8"/>
        <v>2144.1</v>
      </c>
    </row>
    <row r="51" spans="1:10" x14ac:dyDescent="0.45">
      <c r="A51" s="2" t="s">
        <v>178</v>
      </c>
      <c r="B51" s="2" t="str">
        <f t="shared" si="0"/>
        <v>Female</v>
      </c>
      <c r="C51" s="2" t="str">
        <f t="shared" si="1"/>
        <v>United States</v>
      </c>
      <c r="D51" s="2" t="str">
        <f t="shared" si="2"/>
        <v>English</v>
      </c>
      <c r="E51" s="2" t="str">
        <f t="shared" si="3"/>
        <v>Pop</v>
      </c>
      <c r="F51" s="2" t="str">
        <f t="shared" si="4"/>
        <v>Solo</v>
      </c>
      <c r="G51" s="2">
        <f t="shared" si="5"/>
        <v>2014</v>
      </c>
      <c r="H51" s="2">
        <f t="shared" si="6"/>
        <v>17440.2</v>
      </c>
      <c r="I51" s="2">
        <f t="shared" si="7"/>
        <v>5933.3</v>
      </c>
      <c r="J51" s="2">
        <f t="shared" si="8"/>
        <v>11512.1</v>
      </c>
    </row>
    <row r="52" spans="1:10" x14ac:dyDescent="0.45">
      <c r="A52" s="2" t="s">
        <v>281</v>
      </c>
      <c r="B52" s="2" t="str">
        <f t="shared" si="0"/>
        <v>Female</v>
      </c>
      <c r="C52" s="2" t="str">
        <f t="shared" si="1"/>
        <v>United States</v>
      </c>
      <c r="D52" s="2" t="str">
        <f t="shared" si="2"/>
        <v>Spanish</v>
      </c>
      <c r="E52" s="2" t="str">
        <f t="shared" si="3"/>
        <v>Latin</v>
      </c>
      <c r="F52" s="2" t="str">
        <f t="shared" si="4"/>
        <v>Solo</v>
      </c>
      <c r="G52" s="2">
        <f t="shared" si="5"/>
        <v>2013</v>
      </c>
      <c r="H52" s="2">
        <f t="shared" si="6"/>
        <v>12985.2</v>
      </c>
      <c r="I52" s="2">
        <f t="shared" si="7"/>
        <v>8772.2000000000007</v>
      </c>
      <c r="J52" s="2">
        <f t="shared" si="8"/>
        <v>4216.8</v>
      </c>
    </row>
    <row r="53" spans="1:10" x14ac:dyDescent="0.45">
      <c r="A53" s="2" t="s">
        <v>486</v>
      </c>
      <c r="B53" s="2" t="str">
        <f t="shared" si="0"/>
        <v>Male</v>
      </c>
      <c r="C53" s="2" t="str">
        <f t="shared" si="1"/>
        <v>United Kingdom</v>
      </c>
      <c r="D53" s="2" t="str">
        <f t="shared" si="2"/>
        <v>English</v>
      </c>
      <c r="E53" s="2" t="str">
        <f t="shared" si="3"/>
        <v>Pop</v>
      </c>
      <c r="F53" s="2" t="str">
        <f t="shared" si="4"/>
        <v>Group</v>
      </c>
      <c r="G53" s="2">
        <f t="shared" si="5"/>
        <v>1963</v>
      </c>
      <c r="H53" s="2">
        <f t="shared" si="6"/>
        <v>8197.2000000000007</v>
      </c>
      <c r="I53" s="2">
        <f t="shared" si="7"/>
        <v>8080.4</v>
      </c>
      <c r="J53" s="2">
        <f t="shared" si="8"/>
        <v>120.7</v>
      </c>
    </row>
    <row r="54" spans="1:10" x14ac:dyDescent="0.45">
      <c r="A54" s="2" t="s">
        <v>342</v>
      </c>
      <c r="B54" s="2" t="str">
        <f t="shared" si="0"/>
        <v>Male</v>
      </c>
      <c r="C54" s="2" t="str">
        <f t="shared" si="1"/>
        <v>Colombia</v>
      </c>
      <c r="D54" s="2" t="str">
        <f t="shared" si="2"/>
        <v>Spanish</v>
      </c>
      <c r="E54" s="2" t="str">
        <f t="shared" si="3"/>
        <v>Reggaeton</v>
      </c>
      <c r="F54" s="2" t="str">
        <f t="shared" si="4"/>
        <v>Solo</v>
      </c>
      <c r="G54" s="2">
        <f t="shared" si="5"/>
        <v>2019</v>
      </c>
      <c r="H54" s="2">
        <f t="shared" si="6"/>
        <v>10974</v>
      </c>
      <c r="I54" s="2">
        <f t="shared" si="7"/>
        <v>9511.5</v>
      </c>
      <c r="J54" s="2">
        <f t="shared" si="8"/>
        <v>1474.2</v>
      </c>
    </row>
    <row r="55" spans="1:10" x14ac:dyDescent="0.45">
      <c r="A55" s="2" t="s">
        <v>570</v>
      </c>
      <c r="B55" s="2" t="str">
        <f t="shared" si="0"/>
        <v>Male</v>
      </c>
      <c r="C55" s="2" t="str">
        <f t="shared" si="1"/>
        <v>United States</v>
      </c>
      <c r="D55" s="2" t="str">
        <f t="shared" si="2"/>
        <v>English</v>
      </c>
      <c r="E55" s="2" t="str">
        <f t="shared" si="3"/>
        <v>Pop</v>
      </c>
      <c r="F55" s="2" t="str">
        <f t="shared" si="4"/>
        <v>Solo</v>
      </c>
      <c r="G55" s="2">
        <f t="shared" si="5"/>
        <v>2007</v>
      </c>
      <c r="H55" s="2">
        <f t="shared" si="6"/>
        <v>7114.1</v>
      </c>
      <c r="I55" s="2">
        <f t="shared" si="7"/>
        <v>4400.3</v>
      </c>
      <c r="J55" s="2">
        <f t="shared" si="8"/>
        <v>2716</v>
      </c>
    </row>
    <row r="56" spans="1:10" x14ac:dyDescent="0.45">
      <c r="A56" s="2" t="s">
        <v>387</v>
      </c>
      <c r="B56" s="2" t="str">
        <f t="shared" si="0"/>
        <v>Male</v>
      </c>
      <c r="C56" s="2" t="str">
        <f t="shared" si="1"/>
        <v>United States</v>
      </c>
      <c r="D56" s="2" t="str">
        <f t="shared" si="2"/>
        <v>English</v>
      </c>
      <c r="E56" s="2" t="str">
        <f t="shared" si="3"/>
        <v>Pop</v>
      </c>
      <c r="F56" s="2" t="str">
        <f t="shared" si="4"/>
        <v>Solo</v>
      </c>
      <c r="G56" s="2">
        <f t="shared" si="5"/>
        <v>2021</v>
      </c>
      <c r="H56" s="2">
        <f t="shared" si="6"/>
        <v>9949.6</v>
      </c>
      <c r="I56" s="2">
        <f t="shared" si="7"/>
        <v>9956.4</v>
      </c>
      <c r="J56" s="2">
        <f t="shared" si="8"/>
        <v>0</v>
      </c>
    </row>
    <row r="57" spans="1:10" x14ac:dyDescent="0.45">
      <c r="A57" s="2" t="s">
        <v>67</v>
      </c>
      <c r="B57" s="2" t="str">
        <f t="shared" si="0"/>
        <v>Female</v>
      </c>
      <c r="C57" s="2" t="str">
        <f t="shared" si="1"/>
        <v>United States</v>
      </c>
      <c r="D57" s="2" t="str">
        <f t="shared" si="2"/>
        <v>English</v>
      </c>
      <c r="E57" s="2" t="str">
        <f t="shared" si="3"/>
        <v>Pop</v>
      </c>
      <c r="F57" s="2" t="str">
        <f t="shared" si="4"/>
        <v>Solo</v>
      </c>
      <c r="G57" s="2">
        <f t="shared" si="5"/>
        <v>2003</v>
      </c>
      <c r="H57" s="2">
        <f t="shared" si="6"/>
        <v>34975.199999999997</v>
      </c>
      <c r="I57" s="2">
        <f t="shared" si="7"/>
        <v>29662.799999999999</v>
      </c>
      <c r="J57" s="2">
        <f t="shared" si="8"/>
        <v>5325.3</v>
      </c>
    </row>
    <row r="58" spans="1:10" x14ac:dyDescent="0.45">
      <c r="A58" s="2" t="s">
        <v>474</v>
      </c>
      <c r="B58" s="2" t="str">
        <f t="shared" si="0"/>
        <v>Female</v>
      </c>
      <c r="C58" s="2" t="str">
        <f t="shared" si="1"/>
        <v>Germany</v>
      </c>
      <c r="D58" s="2" t="str">
        <f t="shared" si="2"/>
        <v>German</v>
      </c>
      <c r="E58" s="2" t="str">
        <f t="shared" si="3"/>
        <v>Children's Music</v>
      </c>
      <c r="F58" s="2" t="str">
        <f t="shared" si="4"/>
        <v>Solo</v>
      </c>
      <c r="G58" s="2">
        <f t="shared" si="5"/>
        <v>1980</v>
      </c>
      <c r="H58" s="2">
        <f t="shared" si="6"/>
        <v>8316.5</v>
      </c>
      <c r="I58" s="2">
        <f t="shared" si="7"/>
        <v>8317.7999999999993</v>
      </c>
      <c r="J58" s="2">
        <f t="shared" si="8"/>
        <v>0</v>
      </c>
    </row>
    <row r="59" spans="1:10" x14ac:dyDescent="0.45">
      <c r="A59" s="2" t="s">
        <v>194</v>
      </c>
      <c r="B59" s="2" t="str">
        <f t="shared" si="0"/>
        <v>Male</v>
      </c>
      <c r="C59" s="2" t="str">
        <f t="shared" si="1"/>
        <v>United States</v>
      </c>
      <c r="D59" s="2" t="str">
        <f t="shared" si="2"/>
        <v>English</v>
      </c>
      <c r="E59" s="2" t="str">
        <f t="shared" si="3"/>
        <v>Hip-Hop</v>
      </c>
      <c r="F59" s="2" t="str">
        <f t="shared" si="4"/>
        <v>Solo</v>
      </c>
      <c r="G59" s="2">
        <f t="shared" si="5"/>
        <v>2007</v>
      </c>
      <c r="H59" s="2">
        <f t="shared" si="6"/>
        <v>16428.900000000001</v>
      </c>
      <c r="I59" s="2">
        <f t="shared" si="7"/>
        <v>12009.4</v>
      </c>
      <c r="J59" s="2">
        <f t="shared" si="8"/>
        <v>4364.5</v>
      </c>
    </row>
    <row r="60" spans="1:10" x14ac:dyDescent="0.45">
      <c r="A60" s="2" t="s">
        <v>24</v>
      </c>
      <c r="B60" s="2" t="str">
        <f t="shared" si="0"/>
        <v>Female</v>
      </c>
      <c r="C60" s="2" t="str">
        <f t="shared" si="1"/>
        <v>United States</v>
      </c>
      <c r="D60" s="2" t="str">
        <f t="shared" si="2"/>
        <v>English</v>
      </c>
      <c r="E60" s="2" t="str">
        <f t="shared" si="3"/>
        <v>Pop</v>
      </c>
      <c r="F60" s="2" t="str">
        <f t="shared" si="4"/>
        <v>Solo</v>
      </c>
      <c r="G60" s="2">
        <f t="shared" si="5"/>
        <v>2015</v>
      </c>
      <c r="H60" s="2">
        <f t="shared" si="6"/>
        <v>58049.5</v>
      </c>
      <c r="I60" s="2">
        <f t="shared" si="7"/>
        <v>57160.1</v>
      </c>
      <c r="J60" s="2">
        <f t="shared" si="8"/>
        <v>889.4</v>
      </c>
    </row>
    <row r="61" spans="1:10" x14ac:dyDescent="0.45">
      <c r="A61" s="2" t="s">
        <v>416</v>
      </c>
      <c r="B61" s="2" t="str">
        <f t="shared" si="0"/>
        <v>Male</v>
      </c>
      <c r="C61" s="2" t="str">
        <f t="shared" si="1"/>
        <v>United States</v>
      </c>
      <c r="D61" s="2" t="str">
        <f t="shared" si="2"/>
        <v>English</v>
      </c>
      <c r="E61" s="2" t="str">
        <f t="shared" si="3"/>
        <v>Rock</v>
      </c>
      <c r="F61" s="2" t="str">
        <f t="shared" si="4"/>
        <v>Solo</v>
      </c>
      <c r="G61" s="2">
        <f t="shared" si="5"/>
        <v>1971</v>
      </c>
      <c r="H61" s="2">
        <f t="shared" si="6"/>
        <v>9290.9</v>
      </c>
      <c r="I61" s="2">
        <f t="shared" si="7"/>
        <v>9255.2000000000007</v>
      </c>
      <c r="J61" s="2">
        <f t="shared" si="8"/>
        <v>40.4</v>
      </c>
    </row>
    <row r="62" spans="1:10" x14ac:dyDescent="0.45">
      <c r="A62" s="2" t="s">
        <v>210</v>
      </c>
      <c r="B62" s="2" t="str">
        <f t="shared" si="0"/>
        <v>Male</v>
      </c>
      <c r="C62" s="2" t="str">
        <f t="shared" si="1"/>
        <v>Argentina</v>
      </c>
      <c r="D62" s="2" t="str">
        <f t="shared" si="2"/>
        <v>Spanish</v>
      </c>
      <c r="E62" s="2" t="str">
        <f t="shared" si="3"/>
        <v>Latin</v>
      </c>
      <c r="F62" s="2" t="str">
        <f t="shared" si="4"/>
        <v>Solo</v>
      </c>
      <c r="G62" s="2">
        <f t="shared" si="5"/>
        <v>2017</v>
      </c>
      <c r="H62" s="2">
        <f t="shared" si="6"/>
        <v>15638.8</v>
      </c>
      <c r="I62" s="2">
        <f t="shared" si="7"/>
        <v>13216.1</v>
      </c>
      <c r="J62" s="2">
        <f t="shared" si="8"/>
        <v>2427.1999999999998</v>
      </c>
    </row>
    <row r="63" spans="1:10" x14ac:dyDescent="0.45">
      <c r="A63" s="2" t="s">
        <v>205</v>
      </c>
      <c r="B63" s="2" t="str">
        <f t="shared" si="0"/>
        <v>Mixed</v>
      </c>
      <c r="C63" s="2" t="str">
        <f t="shared" si="1"/>
        <v>United States</v>
      </c>
      <c r="D63" s="2" t="str">
        <f t="shared" si="2"/>
        <v>English</v>
      </c>
      <c r="E63" s="2" t="str">
        <f t="shared" si="3"/>
        <v>Hip-Hop</v>
      </c>
      <c r="F63" s="2" t="str">
        <f t="shared" si="4"/>
        <v>Group</v>
      </c>
      <c r="G63" s="2">
        <f t="shared" si="5"/>
        <v>1998</v>
      </c>
      <c r="H63" s="2">
        <f t="shared" si="6"/>
        <v>15775.7</v>
      </c>
      <c r="I63" s="2">
        <f t="shared" si="7"/>
        <v>15257.4</v>
      </c>
      <c r="J63" s="2">
        <f t="shared" si="8"/>
        <v>527.70000000000005</v>
      </c>
    </row>
    <row r="64" spans="1:10" x14ac:dyDescent="0.45">
      <c r="A64" s="2" t="s">
        <v>328</v>
      </c>
      <c r="B64" s="2" t="str">
        <f t="shared" si="0"/>
        <v>Male</v>
      </c>
      <c r="C64" s="2" t="str">
        <f t="shared" si="1"/>
        <v>United States</v>
      </c>
      <c r="D64" s="2" t="str">
        <f t="shared" si="2"/>
        <v>English</v>
      </c>
      <c r="E64" s="2" t="str">
        <f t="shared" si="3"/>
        <v>R&amp;B</v>
      </c>
      <c r="F64" s="2" t="str">
        <f t="shared" si="4"/>
        <v>Solo</v>
      </c>
      <c r="G64" s="2">
        <f t="shared" si="5"/>
        <v>2006</v>
      </c>
      <c r="H64" s="2">
        <f t="shared" si="6"/>
        <v>11428.5</v>
      </c>
      <c r="I64" s="2">
        <f t="shared" si="7"/>
        <v>7562.2</v>
      </c>
      <c r="J64" s="2">
        <f t="shared" si="8"/>
        <v>3868</v>
      </c>
    </row>
    <row r="65" spans="1:10" x14ac:dyDescent="0.45">
      <c r="A65" s="2" t="s">
        <v>176</v>
      </c>
      <c r="B65" s="2" t="str">
        <f t="shared" si="0"/>
        <v>Female</v>
      </c>
      <c r="C65" s="2" t="str">
        <f t="shared" si="1"/>
        <v>South Korea</v>
      </c>
      <c r="D65" s="2" t="str">
        <f t="shared" si="2"/>
        <v>Korean</v>
      </c>
      <c r="E65" s="2" t="str">
        <f t="shared" si="3"/>
        <v>K-Pop</v>
      </c>
      <c r="F65" s="2" t="str">
        <f t="shared" si="4"/>
        <v>Group</v>
      </c>
      <c r="G65" s="2">
        <f t="shared" si="5"/>
        <v>2016</v>
      </c>
      <c r="H65" s="2">
        <f t="shared" si="6"/>
        <v>17517.400000000001</v>
      </c>
      <c r="I65" s="2">
        <f t="shared" si="7"/>
        <v>7595.2</v>
      </c>
      <c r="J65" s="2">
        <f t="shared" si="8"/>
        <v>9927.7999999999993</v>
      </c>
    </row>
    <row r="66" spans="1:10" x14ac:dyDescent="0.45">
      <c r="A66" s="2" t="s">
        <v>429</v>
      </c>
      <c r="B66" s="2" t="str">
        <f t="shared" ref="B66:B129" si="9">VLOOKUP(A66,Spotify1,2,FALSE)</f>
        <v>Male</v>
      </c>
      <c r="C66" s="2" t="str">
        <f t="shared" ref="C66:C129" si="10">VLOOKUP(A66,Spotify1,3,FALSE)</f>
        <v>Colombia</v>
      </c>
      <c r="D66" s="2" t="str">
        <f t="shared" ref="D66:D129" si="11">VLOOKUP(A66,Spotify1,4,FALSE)</f>
        <v>Spanish</v>
      </c>
      <c r="E66" s="2" t="str">
        <f t="shared" ref="E66:E129" si="12">VLOOKUP(A66,Spotify1,5,FALSE)</f>
        <v>Reggaeton</v>
      </c>
      <c r="F66" s="2" t="str">
        <f t="shared" ref="F66:F129" si="13">VLOOKUP(A66,Spotify1,6,FALSE)</f>
        <v>Solo</v>
      </c>
      <c r="G66" s="2">
        <f t="shared" ref="G66:G129" si="14">VLOOKUP(A66,Spotify1,7,FALSE)</f>
        <v>2018</v>
      </c>
      <c r="H66" s="2">
        <f t="shared" ref="H66:H129" si="15">VLOOKUP(A66,Spotify1,8,FALSE)</f>
        <v>8965</v>
      </c>
      <c r="I66" s="2">
        <f t="shared" ref="I66:I129" si="16">VLOOKUP(A66,Spotify1,9,FALSE)</f>
        <v>6387.9</v>
      </c>
      <c r="J66" s="2">
        <f t="shared" ref="J66:J129" si="17">VLOOKUP(A66,Spotify1,10,FALSE)</f>
        <v>2587.4</v>
      </c>
    </row>
    <row r="67" spans="1:10" x14ac:dyDescent="0.45">
      <c r="A67" s="2" t="s">
        <v>353</v>
      </c>
      <c r="B67" s="2" t="str">
        <f t="shared" si="9"/>
        <v>Male</v>
      </c>
      <c r="C67" s="2" t="str">
        <f t="shared" si="10"/>
        <v>United States</v>
      </c>
      <c r="D67" s="2" t="str">
        <f t="shared" si="11"/>
        <v>English</v>
      </c>
      <c r="E67" s="2" t="str">
        <f t="shared" si="12"/>
        <v>Rock</v>
      </c>
      <c r="F67" s="2" t="str">
        <f t="shared" si="13"/>
        <v>Group</v>
      </c>
      <c r="G67" s="2">
        <f t="shared" si="14"/>
        <v>1995</v>
      </c>
      <c r="H67" s="2">
        <f t="shared" si="15"/>
        <v>10760.4</v>
      </c>
      <c r="I67" s="2">
        <f t="shared" si="16"/>
        <v>10630.4</v>
      </c>
      <c r="J67" s="2">
        <f t="shared" si="17"/>
        <v>133.80000000000001</v>
      </c>
    </row>
    <row r="68" spans="1:10" x14ac:dyDescent="0.45">
      <c r="A68" s="2" t="s">
        <v>223</v>
      </c>
      <c r="B68" s="2" t="str">
        <f t="shared" si="9"/>
        <v>Male</v>
      </c>
      <c r="C68" s="2" t="str">
        <f t="shared" si="10"/>
        <v>Jamaica</v>
      </c>
      <c r="D68" s="2" t="str">
        <f t="shared" si="11"/>
        <v>English</v>
      </c>
      <c r="E68" s="2" t="str">
        <f t="shared" si="12"/>
        <v>Reggae</v>
      </c>
      <c r="F68" s="2" t="str">
        <f t="shared" si="13"/>
        <v>Group</v>
      </c>
      <c r="G68" s="2">
        <f t="shared" si="14"/>
        <v>1962</v>
      </c>
      <c r="H68" s="2">
        <f t="shared" si="15"/>
        <v>14992.7</v>
      </c>
      <c r="I68" s="2">
        <f t="shared" si="16"/>
        <v>14837.1</v>
      </c>
      <c r="J68" s="2">
        <f t="shared" si="17"/>
        <v>161.6</v>
      </c>
    </row>
    <row r="69" spans="1:10" x14ac:dyDescent="0.45">
      <c r="A69" s="2" t="s">
        <v>492</v>
      </c>
      <c r="B69" s="2" t="str">
        <f t="shared" si="9"/>
        <v>Male</v>
      </c>
      <c r="C69" s="2" t="str">
        <f t="shared" si="10"/>
        <v>United States</v>
      </c>
      <c r="D69" s="2" t="str">
        <f t="shared" si="11"/>
        <v>English</v>
      </c>
      <c r="E69" s="2" t="str">
        <f t="shared" si="12"/>
        <v>Folk</v>
      </c>
      <c r="F69" s="2" t="str">
        <f t="shared" si="13"/>
        <v>Solo</v>
      </c>
      <c r="G69" s="2">
        <f t="shared" si="14"/>
        <v>2007</v>
      </c>
      <c r="H69" s="2">
        <f t="shared" si="15"/>
        <v>8065.4</v>
      </c>
      <c r="I69" s="2">
        <f t="shared" si="16"/>
        <v>7161.8</v>
      </c>
      <c r="J69" s="2">
        <f t="shared" si="17"/>
        <v>905.7</v>
      </c>
    </row>
    <row r="70" spans="1:10" x14ac:dyDescent="0.45">
      <c r="A70" s="2" t="s">
        <v>351</v>
      </c>
      <c r="B70" s="2" t="str">
        <f t="shared" si="9"/>
        <v>Male</v>
      </c>
      <c r="C70" s="2" t="str">
        <f t="shared" si="10"/>
        <v>United States</v>
      </c>
      <c r="D70" s="2" t="str">
        <f t="shared" si="11"/>
        <v>English</v>
      </c>
      <c r="E70" s="2" t="str">
        <f t="shared" si="12"/>
        <v>Rock</v>
      </c>
      <c r="F70" s="2" t="str">
        <f t="shared" si="13"/>
        <v>Group</v>
      </c>
      <c r="G70" s="2">
        <f t="shared" si="14"/>
        <v>1984</v>
      </c>
      <c r="H70" s="2">
        <f t="shared" si="15"/>
        <v>10771.3</v>
      </c>
      <c r="I70" s="2">
        <f t="shared" si="16"/>
        <v>10772.2</v>
      </c>
      <c r="J70" s="2">
        <f t="shared" si="17"/>
        <v>0.6</v>
      </c>
    </row>
    <row r="71" spans="1:10" x14ac:dyDescent="0.45">
      <c r="A71" s="2" t="s">
        <v>473</v>
      </c>
      <c r="B71" s="2" t="str">
        <f t="shared" si="9"/>
        <v>Male</v>
      </c>
      <c r="C71" s="2" t="str">
        <f t="shared" si="10"/>
        <v>Germany</v>
      </c>
      <c r="D71" s="2" t="str">
        <f t="shared" si="11"/>
        <v>German</v>
      </c>
      <c r="E71" s="2" t="str">
        <f t="shared" si="12"/>
        <v>Hip-Hop</v>
      </c>
      <c r="F71" s="2" t="str">
        <f t="shared" si="13"/>
        <v>Solo</v>
      </c>
      <c r="G71" s="2">
        <f t="shared" si="14"/>
        <v>2006</v>
      </c>
      <c r="H71" s="2">
        <f t="shared" si="15"/>
        <v>8326.7000000000007</v>
      </c>
      <c r="I71" s="2">
        <f t="shared" si="16"/>
        <v>4696.3999999999996</v>
      </c>
      <c r="J71" s="2">
        <f t="shared" si="17"/>
        <v>3630.4</v>
      </c>
    </row>
    <row r="72" spans="1:10" x14ac:dyDescent="0.45">
      <c r="A72" s="2" t="s">
        <v>262</v>
      </c>
      <c r="B72" s="2" t="str">
        <f t="shared" si="9"/>
        <v>Male</v>
      </c>
      <c r="C72" s="2" t="str">
        <f t="shared" si="10"/>
        <v>United States</v>
      </c>
      <c r="D72" s="2" t="str">
        <f t="shared" si="11"/>
        <v>English</v>
      </c>
      <c r="E72" s="2" t="str">
        <f t="shared" si="12"/>
        <v>R&amp;B</v>
      </c>
      <c r="F72" s="2" t="str">
        <f t="shared" si="13"/>
        <v>Solo</v>
      </c>
      <c r="G72" s="2">
        <f t="shared" si="14"/>
        <v>2013</v>
      </c>
      <c r="H72" s="2">
        <f t="shared" si="15"/>
        <v>13490.4</v>
      </c>
      <c r="I72" s="2">
        <f t="shared" si="16"/>
        <v>9955.4</v>
      </c>
      <c r="J72" s="2">
        <f t="shared" si="17"/>
        <v>3540.8</v>
      </c>
    </row>
    <row r="73" spans="1:10" x14ac:dyDescent="0.45">
      <c r="A73" s="2" t="s">
        <v>383</v>
      </c>
      <c r="B73" s="2" t="str">
        <f t="shared" si="9"/>
        <v>Male</v>
      </c>
      <c r="C73" s="2" t="str">
        <f t="shared" si="10"/>
        <v>United Kingdom</v>
      </c>
      <c r="D73" s="2" t="str">
        <f t="shared" si="11"/>
        <v>English</v>
      </c>
      <c r="E73" s="2" t="str">
        <f t="shared" si="12"/>
        <v>Rock</v>
      </c>
      <c r="F73" s="2" t="str">
        <f t="shared" si="13"/>
        <v>Group</v>
      </c>
      <c r="G73" s="2">
        <f t="shared" si="14"/>
        <v>2006</v>
      </c>
      <c r="H73" s="2">
        <f t="shared" si="15"/>
        <v>10108</v>
      </c>
      <c r="I73" s="2">
        <f t="shared" si="16"/>
        <v>8333.7000000000007</v>
      </c>
      <c r="J73" s="2">
        <f t="shared" si="17"/>
        <v>1782</v>
      </c>
    </row>
    <row r="74" spans="1:10" x14ac:dyDescent="0.45">
      <c r="A74" s="2" t="s">
        <v>199</v>
      </c>
      <c r="B74" s="2" t="str">
        <f t="shared" si="9"/>
        <v>Female</v>
      </c>
      <c r="C74" s="2" t="str">
        <f t="shared" si="10"/>
        <v>United States</v>
      </c>
      <c r="D74" s="2" t="str">
        <f t="shared" si="11"/>
        <v>English</v>
      </c>
      <c r="E74" s="2" t="str">
        <f t="shared" si="12"/>
        <v>Pop</v>
      </c>
      <c r="F74" s="2" t="str">
        <f t="shared" si="13"/>
        <v>Solo</v>
      </c>
      <c r="G74" s="2">
        <f t="shared" si="14"/>
        <v>1998</v>
      </c>
      <c r="H74" s="2">
        <f t="shared" si="15"/>
        <v>16148.3</v>
      </c>
      <c r="I74" s="2">
        <f t="shared" si="16"/>
        <v>14108.3</v>
      </c>
      <c r="J74" s="2">
        <f t="shared" si="17"/>
        <v>2048.1</v>
      </c>
    </row>
    <row r="75" spans="1:10" x14ac:dyDescent="0.45">
      <c r="A75" s="2" t="s">
        <v>431</v>
      </c>
      <c r="B75" s="2" t="str">
        <f t="shared" si="9"/>
        <v>Male</v>
      </c>
      <c r="C75" s="2" t="str">
        <f t="shared" si="10"/>
        <v>United States</v>
      </c>
      <c r="D75" s="2" t="str">
        <f t="shared" si="11"/>
        <v>English</v>
      </c>
      <c r="E75" s="2" t="str">
        <f t="shared" si="12"/>
        <v>Rock</v>
      </c>
      <c r="F75" s="2" t="str">
        <f t="shared" si="13"/>
        <v>Solo</v>
      </c>
      <c r="G75" s="2">
        <f t="shared" si="14"/>
        <v>1973</v>
      </c>
      <c r="H75" s="2">
        <f t="shared" si="15"/>
        <v>8927.6</v>
      </c>
      <c r="I75" s="2">
        <f t="shared" si="16"/>
        <v>8741.2000000000007</v>
      </c>
      <c r="J75" s="2">
        <f t="shared" si="17"/>
        <v>189.7</v>
      </c>
    </row>
    <row r="76" spans="1:10" x14ac:dyDescent="0.45">
      <c r="A76" s="2" t="s">
        <v>25</v>
      </c>
      <c r="B76" s="2" t="str">
        <f t="shared" si="9"/>
        <v>Male</v>
      </c>
      <c r="C76" s="2" t="str">
        <f t="shared" si="10"/>
        <v>United States</v>
      </c>
      <c r="D76" s="2" t="str">
        <f t="shared" si="11"/>
        <v>English</v>
      </c>
      <c r="E76" s="2" t="str">
        <f t="shared" si="12"/>
        <v>Pop</v>
      </c>
      <c r="F76" s="2" t="str">
        <f t="shared" si="13"/>
        <v>Solo</v>
      </c>
      <c r="G76" s="2">
        <f t="shared" si="14"/>
        <v>2010</v>
      </c>
      <c r="H76" s="2">
        <f t="shared" si="15"/>
        <v>56727.1</v>
      </c>
      <c r="I76" s="2">
        <f t="shared" si="16"/>
        <v>40714</v>
      </c>
      <c r="J76" s="2">
        <f t="shared" si="17"/>
        <v>16013.1</v>
      </c>
    </row>
    <row r="77" spans="1:10" x14ac:dyDescent="0.45">
      <c r="A77" s="2" t="s">
        <v>539</v>
      </c>
      <c r="B77" s="2" t="str">
        <f t="shared" si="9"/>
        <v>Male</v>
      </c>
      <c r="C77" s="2" t="str">
        <f t="shared" si="10"/>
        <v>Canada</v>
      </c>
      <c r="D77" s="2" t="str">
        <f t="shared" si="11"/>
        <v>English</v>
      </c>
      <c r="E77" s="2" t="str">
        <f t="shared" si="12"/>
        <v>Rock</v>
      </c>
      <c r="F77" s="2" t="str">
        <f t="shared" si="13"/>
        <v>Solo</v>
      </c>
      <c r="G77" s="2">
        <f t="shared" si="14"/>
        <v>1980</v>
      </c>
      <c r="H77" s="2">
        <f t="shared" si="15"/>
        <v>7503.2</v>
      </c>
      <c r="I77" s="2">
        <f t="shared" si="16"/>
        <v>5958.2</v>
      </c>
      <c r="J77" s="2">
        <f t="shared" si="17"/>
        <v>1568.1</v>
      </c>
    </row>
    <row r="78" spans="1:10" x14ac:dyDescent="0.45">
      <c r="A78" s="2" t="s">
        <v>299</v>
      </c>
      <c r="B78" s="2" t="str">
        <f t="shared" si="9"/>
        <v>Male</v>
      </c>
      <c r="C78" s="2" t="str">
        <f t="shared" si="10"/>
        <v>United States</v>
      </c>
      <c r="D78" s="2" t="str">
        <f t="shared" si="11"/>
        <v>Spanish</v>
      </c>
      <c r="E78" s="2" t="str">
        <f t="shared" si="12"/>
        <v>Reggaeton</v>
      </c>
      <c r="F78" s="2" t="str">
        <f t="shared" si="13"/>
        <v>Solo</v>
      </c>
      <c r="G78" s="2">
        <f t="shared" si="14"/>
        <v>2015</v>
      </c>
      <c r="H78" s="2">
        <f t="shared" si="15"/>
        <v>12394.6</v>
      </c>
      <c r="I78" s="2">
        <f t="shared" si="16"/>
        <v>4419.3999999999996</v>
      </c>
      <c r="J78" s="2">
        <f t="shared" si="17"/>
        <v>7981.5</v>
      </c>
    </row>
    <row r="79" spans="1:10" x14ac:dyDescent="0.45">
      <c r="A79" s="2" t="s">
        <v>253</v>
      </c>
      <c r="B79" s="2" t="str">
        <f t="shared" si="9"/>
        <v>Male</v>
      </c>
      <c r="C79" s="2" t="str">
        <f t="shared" si="10"/>
        <v>United States</v>
      </c>
      <c r="D79" s="2" t="str">
        <f t="shared" si="11"/>
        <v>English</v>
      </c>
      <c r="E79" s="2" t="str">
        <f t="shared" si="12"/>
        <v>R&amp;B</v>
      </c>
      <c r="F79" s="2" t="str">
        <f t="shared" si="13"/>
        <v>Solo</v>
      </c>
      <c r="G79" s="2">
        <f t="shared" si="14"/>
        <v>2011</v>
      </c>
      <c r="H79" s="2">
        <f t="shared" si="15"/>
        <v>13890.6</v>
      </c>
      <c r="I79" s="2">
        <f t="shared" si="16"/>
        <v>13739.5</v>
      </c>
      <c r="J79" s="2">
        <f t="shared" si="17"/>
        <v>155.6</v>
      </c>
    </row>
    <row r="80" spans="1:10" x14ac:dyDescent="0.45">
      <c r="A80" s="2" t="s">
        <v>518</v>
      </c>
      <c r="B80" s="2" t="str">
        <f t="shared" si="9"/>
        <v>Male</v>
      </c>
      <c r="C80" s="2" t="str">
        <f t="shared" si="10"/>
        <v>United States</v>
      </c>
      <c r="D80" s="2" t="str">
        <f t="shared" si="11"/>
        <v>Spanish</v>
      </c>
      <c r="E80" s="2" t="str">
        <f t="shared" si="12"/>
        <v>Reggaeton</v>
      </c>
      <c r="F80" s="2" t="str">
        <f t="shared" si="13"/>
        <v>Solo</v>
      </c>
      <c r="G80" s="2">
        <f t="shared" si="14"/>
        <v>2014</v>
      </c>
      <c r="H80" s="2">
        <f t="shared" si="15"/>
        <v>7785.3</v>
      </c>
      <c r="I80" s="2">
        <f t="shared" si="16"/>
        <v>2720.2</v>
      </c>
      <c r="J80" s="2">
        <f t="shared" si="17"/>
        <v>5065.1000000000004</v>
      </c>
    </row>
    <row r="81" spans="1:10" x14ac:dyDescent="0.45">
      <c r="A81" s="2" t="s">
        <v>31</v>
      </c>
      <c r="B81" s="2" t="str">
        <f t="shared" si="9"/>
        <v>Male</v>
      </c>
      <c r="C81" s="2" t="str">
        <f t="shared" si="10"/>
        <v>South Korea</v>
      </c>
      <c r="D81" s="2" t="str">
        <f t="shared" si="11"/>
        <v>Korean</v>
      </c>
      <c r="E81" s="2" t="str">
        <f t="shared" si="12"/>
        <v>K-Pop</v>
      </c>
      <c r="F81" s="2" t="str">
        <f t="shared" si="13"/>
        <v>Group</v>
      </c>
      <c r="G81" s="2">
        <f t="shared" si="14"/>
        <v>2013</v>
      </c>
      <c r="H81" s="2">
        <f t="shared" si="15"/>
        <v>53308.9</v>
      </c>
      <c r="I81" s="2">
        <f t="shared" si="16"/>
        <v>47969.9</v>
      </c>
      <c r="J81" s="2">
        <f t="shared" si="17"/>
        <v>5339</v>
      </c>
    </row>
    <row r="82" spans="1:10" x14ac:dyDescent="0.45">
      <c r="A82" s="2" t="s">
        <v>371</v>
      </c>
      <c r="B82" s="2" t="str">
        <f t="shared" si="9"/>
        <v>Male</v>
      </c>
      <c r="C82" s="2" t="str">
        <f t="shared" si="10"/>
        <v>Nigeria</v>
      </c>
      <c r="D82" s="2" t="str">
        <f t="shared" si="11"/>
        <v>English</v>
      </c>
      <c r="E82" s="2" t="str">
        <f t="shared" si="12"/>
        <v>Afrobeats</v>
      </c>
      <c r="F82" s="2" t="str">
        <f t="shared" si="13"/>
        <v>Solo</v>
      </c>
      <c r="G82" s="2">
        <f t="shared" si="14"/>
        <v>2012</v>
      </c>
      <c r="H82" s="2">
        <f t="shared" si="15"/>
        <v>10290.6</v>
      </c>
      <c r="I82" s="2">
        <f t="shared" si="16"/>
        <v>2289.1999999999998</v>
      </c>
      <c r="J82" s="2">
        <f t="shared" si="17"/>
        <v>8003.8</v>
      </c>
    </row>
    <row r="83" spans="1:10" x14ac:dyDescent="0.45">
      <c r="A83" s="2" t="s">
        <v>466</v>
      </c>
      <c r="B83" s="2" t="str">
        <f t="shared" si="9"/>
        <v>Male</v>
      </c>
      <c r="C83" s="2" t="str">
        <f t="shared" si="10"/>
        <v>Mexico</v>
      </c>
      <c r="D83" s="2" t="str">
        <f t="shared" si="11"/>
        <v>Spanish</v>
      </c>
      <c r="E83" s="2" t="str">
        <f t="shared" si="12"/>
        <v>Regional Mexican</v>
      </c>
      <c r="F83" s="2" t="str">
        <f t="shared" si="13"/>
        <v>Group</v>
      </c>
      <c r="G83" s="2">
        <f t="shared" si="14"/>
        <v>2010</v>
      </c>
      <c r="H83" s="2">
        <f t="shared" si="15"/>
        <v>8433.7999999999993</v>
      </c>
      <c r="I83" s="2">
        <f t="shared" si="16"/>
        <v>7838.5</v>
      </c>
      <c r="J83" s="2">
        <f t="shared" si="17"/>
        <v>603.29999999999995</v>
      </c>
    </row>
    <row r="84" spans="1:10" x14ac:dyDescent="0.45">
      <c r="A84" s="2" t="s">
        <v>567</v>
      </c>
      <c r="B84" s="2" t="str">
        <f t="shared" si="9"/>
        <v>Male</v>
      </c>
      <c r="C84" s="2" t="str">
        <f t="shared" si="10"/>
        <v>United Kingdom</v>
      </c>
      <c r="D84" s="2" t="str">
        <f t="shared" si="11"/>
        <v>English</v>
      </c>
      <c r="E84" s="2" t="str">
        <f t="shared" si="12"/>
        <v>Pop</v>
      </c>
      <c r="F84" s="2" t="str">
        <f t="shared" si="13"/>
        <v>Solo</v>
      </c>
      <c r="G84" s="2">
        <f t="shared" si="14"/>
        <v>2016</v>
      </c>
      <c r="H84" s="2">
        <f t="shared" si="15"/>
        <v>7192.6</v>
      </c>
      <c r="I84" s="2">
        <f t="shared" si="16"/>
        <v>4689.2</v>
      </c>
      <c r="J84" s="2">
        <f t="shared" si="17"/>
        <v>2505.3000000000002</v>
      </c>
    </row>
    <row r="85" spans="1:10" x14ac:dyDescent="0.45">
      <c r="A85" s="2" t="s">
        <v>71</v>
      </c>
      <c r="B85" s="2" t="str">
        <f t="shared" si="9"/>
        <v>Male</v>
      </c>
      <c r="C85" s="2" t="str">
        <f t="shared" si="10"/>
        <v>Scotland</v>
      </c>
      <c r="D85" s="2" t="str">
        <f t="shared" si="11"/>
        <v>English</v>
      </c>
      <c r="E85" s="2" t="str">
        <f t="shared" si="12"/>
        <v>EDM</v>
      </c>
      <c r="F85" s="2" t="str">
        <f t="shared" si="13"/>
        <v>Solo</v>
      </c>
      <c r="G85" s="2">
        <f t="shared" si="14"/>
        <v>2007</v>
      </c>
      <c r="H85" s="2">
        <f t="shared" si="15"/>
        <v>34129.699999999997</v>
      </c>
      <c r="I85" s="2">
        <f t="shared" si="16"/>
        <v>31846</v>
      </c>
      <c r="J85" s="2">
        <f t="shared" si="17"/>
        <v>2298.3000000000002</v>
      </c>
    </row>
    <row r="86" spans="1:10" x14ac:dyDescent="0.45">
      <c r="A86" s="2" t="s">
        <v>129</v>
      </c>
      <c r="B86" s="2" t="str">
        <f t="shared" si="9"/>
        <v>Female</v>
      </c>
      <c r="C86" s="2" t="str">
        <f t="shared" si="10"/>
        <v>Cuba</v>
      </c>
      <c r="D86" s="2" t="str">
        <f t="shared" si="11"/>
        <v>English</v>
      </c>
      <c r="E86" s="2" t="str">
        <f t="shared" si="12"/>
        <v>Pop</v>
      </c>
      <c r="F86" s="2" t="str">
        <f t="shared" si="13"/>
        <v>Solo</v>
      </c>
      <c r="G86" s="2">
        <f t="shared" si="14"/>
        <v>2012</v>
      </c>
      <c r="H86" s="2">
        <f t="shared" si="15"/>
        <v>21546.2</v>
      </c>
      <c r="I86" s="2">
        <f t="shared" si="16"/>
        <v>12365.6</v>
      </c>
      <c r="J86" s="2">
        <f t="shared" si="17"/>
        <v>9186</v>
      </c>
    </row>
    <row r="87" spans="1:10" x14ac:dyDescent="0.45">
      <c r="A87" s="2" t="s">
        <v>249</v>
      </c>
      <c r="B87" s="2" t="str">
        <f t="shared" si="9"/>
        <v>Male</v>
      </c>
      <c r="C87" s="2" t="str">
        <f t="shared" si="10"/>
        <v>Colombia</v>
      </c>
      <c r="D87" s="2" t="str">
        <f t="shared" si="11"/>
        <v>Spanish</v>
      </c>
      <c r="E87" s="2" t="str">
        <f t="shared" si="12"/>
        <v>Pop</v>
      </c>
      <c r="F87" s="2" t="str">
        <f t="shared" si="13"/>
        <v>Solo</v>
      </c>
      <c r="G87" s="2">
        <f t="shared" si="14"/>
        <v>2007</v>
      </c>
      <c r="H87" s="2">
        <f t="shared" si="15"/>
        <v>13994.1</v>
      </c>
      <c r="I87" s="2">
        <f t="shared" si="16"/>
        <v>8290.1</v>
      </c>
      <c r="J87" s="2">
        <f t="shared" si="17"/>
        <v>5703.9</v>
      </c>
    </row>
    <row r="88" spans="1:10" x14ac:dyDescent="0.45">
      <c r="A88" s="2" t="s">
        <v>123</v>
      </c>
      <c r="B88" s="2" t="str">
        <f t="shared" si="9"/>
        <v>Female</v>
      </c>
      <c r="C88" s="2" t="str">
        <f t="shared" si="10"/>
        <v>United States</v>
      </c>
      <c r="D88" s="2" t="str">
        <f t="shared" si="11"/>
        <v>English</v>
      </c>
      <c r="E88" s="2" t="str">
        <f t="shared" si="12"/>
        <v>Hip-Hop</v>
      </c>
      <c r="F88" s="2" t="str">
        <f t="shared" si="13"/>
        <v>Solo</v>
      </c>
      <c r="G88" s="2">
        <f t="shared" si="14"/>
        <v>2015</v>
      </c>
      <c r="H88" s="2">
        <f t="shared" si="15"/>
        <v>22494.9</v>
      </c>
      <c r="I88" s="2">
        <f t="shared" si="16"/>
        <v>10833.6</v>
      </c>
      <c r="J88" s="2">
        <f t="shared" si="17"/>
        <v>11666.6</v>
      </c>
    </row>
    <row r="89" spans="1:10" x14ac:dyDescent="0.45">
      <c r="A89" s="2" t="s">
        <v>186</v>
      </c>
      <c r="B89" s="2" t="str">
        <f t="shared" si="9"/>
        <v>Male</v>
      </c>
      <c r="C89" s="2" t="str">
        <f t="shared" si="10"/>
        <v>Mexico</v>
      </c>
      <c r="D89" s="2" t="str">
        <f t="shared" si="11"/>
        <v>Spanish</v>
      </c>
      <c r="E89" s="2" t="str">
        <f t="shared" si="12"/>
        <v>Regional Mexican</v>
      </c>
      <c r="F89" s="2" t="str">
        <f t="shared" si="13"/>
        <v>Solo</v>
      </c>
      <c r="G89" s="2">
        <f t="shared" si="14"/>
        <v>2010</v>
      </c>
      <c r="H89" s="2">
        <f t="shared" si="15"/>
        <v>16969.400000000001</v>
      </c>
      <c r="I89" s="2">
        <f t="shared" si="16"/>
        <v>10480.799999999999</v>
      </c>
      <c r="J89" s="2">
        <f t="shared" si="17"/>
        <v>6497.7</v>
      </c>
    </row>
    <row r="90" spans="1:10" x14ac:dyDescent="0.45">
      <c r="A90" s="2" t="s">
        <v>423</v>
      </c>
      <c r="B90" s="2" t="str">
        <f t="shared" si="9"/>
        <v>Male</v>
      </c>
      <c r="C90" s="2" t="str">
        <f t="shared" si="10"/>
        <v>Mexico</v>
      </c>
      <c r="D90" s="2" t="str">
        <f t="shared" si="11"/>
        <v>Spanish</v>
      </c>
      <c r="E90" s="2" t="str">
        <f t="shared" si="12"/>
        <v>Hip-Hop</v>
      </c>
      <c r="F90" s="2" t="str">
        <f t="shared" si="13"/>
        <v>Group</v>
      </c>
      <c r="G90" s="2">
        <f t="shared" si="14"/>
        <v>2002</v>
      </c>
      <c r="H90" s="2">
        <f t="shared" si="15"/>
        <v>9107.5</v>
      </c>
      <c r="I90" s="2">
        <f t="shared" si="16"/>
        <v>8630.9</v>
      </c>
      <c r="J90" s="2">
        <f t="shared" si="17"/>
        <v>487.3</v>
      </c>
    </row>
    <row r="91" spans="1:10" x14ac:dyDescent="0.45">
      <c r="A91" s="2" t="s">
        <v>538</v>
      </c>
      <c r="B91" s="2" t="str">
        <f t="shared" si="9"/>
        <v>Female</v>
      </c>
      <c r="C91" s="2" t="str">
        <f t="shared" si="10"/>
        <v>Canada</v>
      </c>
      <c r="D91" s="2" t="str">
        <f t="shared" si="11"/>
        <v>French</v>
      </c>
      <c r="E91" s="2" t="str">
        <f t="shared" si="12"/>
        <v>Pop</v>
      </c>
      <c r="F91" s="2" t="str">
        <f t="shared" si="13"/>
        <v>Solo</v>
      </c>
      <c r="G91" s="2">
        <f t="shared" si="14"/>
        <v>1981</v>
      </c>
      <c r="H91" s="2">
        <f t="shared" si="15"/>
        <v>7543.1</v>
      </c>
      <c r="I91" s="2">
        <f t="shared" si="16"/>
        <v>7093.1</v>
      </c>
      <c r="J91" s="2">
        <f t="shared" si="17"/>
        <v>450</v>
      </c>
    </row>
    <row r="92" spans="1:10" x14ac:dyDescent="0.45">
      <c r="A92" s="2" t="s">
        <v>384</v>
      </c>
      <c r="B92" s="2" t="str">
        <f t="shared" si="9"/>
        <v>Male</v>
      </c>
      <c r="C92" s="2" t="str">
        <f t="shared" si="10"/>
        <v>United Kingdom</v>
      </c>
      <c r="D92" s="2" t="str">
        <f t="shared" si="11"/>
        <v>English</v>
      </c>
      <c r="E92" s="2" t="str">
        <f t="shared" si="12"/>
        <v>Hip-Hop</v>
      </c>
      <c r="F92" s="2" t="str">
        <f t="shared" si="13"/>
        <v>Solo</v>
      </c>
      <c r="G92" s="2">
        <f t="shared" si="14"/>
        <v>2014</v>
      </c>
      <c r="H92" s="2">
        <f t="shared" si="15"/>
        <v>10095.5</v>
      </c>
      <c r="I92" s="2">
        <f t="shared" si="16"/>
        <v>6587</v>
      </c>
      <c r="J92" s="2">
        <f t="shared" si="17"/>
        <v>3508.5</v>
      </c>
    </row>
    <row r="93" spans="1:10" x14ac:dyDescent="0.45">
      <c r="A93" s="2" t="s">
        <v>326</v>
      </c>
      <c r="B93" s="2" t="str">
        <f t="shared" si="9"/>
        <v>Male</v>
      </c>
      <c r="C93" s="2" t="str">
        <f t="shared" si="10"/>
        <v>United States</v>
      </c>
      <c r="D93" s="2" t="str">
        <f t="shared" si="11"/>
        <v>English</v>
      </c>
      <c r="E93" s="2" t="str">
        <f t="shared" si="12"/>
        <v>Hip-Hop</v>
      </c>
      <c r="F93" s="2" t="str">
        <f t="shared" si="13"/>
        <v>Solo</v>
      </c>
      <c r="G93" s="2">
        <f t="shared" si="14"/>
        <v>2012</v>
      </c>
      <c r="H93" s="2">
        <f t="shared" si="15"/>
        <v>11475.1</v>
      </c>
      <c r="I93" s="2">
        <f t="shared" si="16"/>
        <v>3956.3</v>
      </c>
      <c r="J93" s="2">
        <f t="shared" si="17"/>
        <v>7518.7</v>
      </c>
    </row>
    <row r="94" spans="1:10" x14ac:dyDescent="0.45">
      <c r="A94" s="2" t="s">
        <v>467</v>
      </c>
      <c r="B94" s="2" t="str">
        <f t="shared" si="9"/>
        <v>Female</v>
      </c>
      <c r="C94" s="2" t="str">
        <f t="shared" si="10"/>
        <v>United States</v>
      </c>
      <c r="D94" s="2" t="str">
        <f t="shared" si="11"/>
        <v>English</v>
      </c>
      <c r="E94" s="2" t="str">
        <f t="shared" si="12"/>
        <v>Pop</v>
      </c>
      <c r="F94" s="2" t="str">
        <f t="shared" si="13"/>
        <v>Solo</v>
      </c>
      <c r="G94" s="2">
        <f t="shared" si="14"/>
        <v>2017</v>
      </c>
      <c r="H94" s="2">
        <f t="shared" si="15"/>
        <v>8382.9</v>
      </c>
      <c r="I94" s="2">
        <f t="shared" si="16"/>
        <v>8387.7999999999993</v>
      </c>
      <c r="J94" s="2">
        <f t="shared" si="17"/>
        <v>0</v>
      </c>
    </row>
    <row r="95" spans="1:10" x14ac:dyDescent="0.45">
      <c r="A95" s="2" t="s">
        <v>230</v>
      </c>
      <c r="B95" s="2" t="str">
        <f t="shared" si="9"/>
        <v>Female</v>
      </c>
      <c r="C95" s="2" t="str">
        <f t="shared" si="10"/>
        <v>United Kingdom</v>
      </c>
      <c r="D95" s="2" t="str">
        <f t="shared" si="11"/>
        <v>English</v>
      </c>
      <c r="E95" s="2" t="str">
        <f t="shared" si="12"/>
        <v>Pop</v>
      </c>
      <c r="F95" s="2" t="str">
        <f t="shared" si="13"/>
        <v>Solo</v>
      </c>
      <c r="G95" s="2">
        <f t="shared" si="14"/>
        <v>2008</v>
      </c>
      <c r="H95" s="2">
        <f t="shared" si="15"/>
        <v>14544.4</v>
      </c>
      <c r="I95" s="2">
        <f t="shared" si="16"/>
        <v>10175.299999999999</v>
      </c>
      <c r="J95" s="2">
        <f t="shared" si="17"/>
        <v>4376</v>
      </c>
    </row>
    <row r="96" spans="1:10" x14ac:dyDescent="0.45">
      <c r="A96" s="2" t="s">
        <v>165</v>
      </c>
      <c r="B96" s="2" t="str">
        <f t="shared" si="9"/>
        <v>Male</v>
      </c>
      <c r="C96" s="2" t="str">
        <f t="shared" si="10"/>
        <v>United States</v>
      </c>
      <c r="D96" s="2" t="str">
        <f t="shared" si="11"/>
        <v>English</v>
      </c>
      <c r="E96" s="2" t="str">
        <f t="shared" si="12"/>
        <v>Pop</v>
      </c>
      <c r="F96" s="2" t="str">
        <f t="shared" si="13"/>
        <v>Solo</v>
      </c>
      <c r="G96" s="2">
        <f t="shared" si="14"/>
        <v>2015</v>
      </c>
      <c r="H96" s="2">
        <f t="shared" si="15"/>
        <v>18309.3</v>
      </c>
      <c r="I96" s="2">
        <f t="shared" si="16"/>
        <v>14642.3</v>
      </c>
      <c r="J96" s="2">
        <f t="shared" si="17"/>
        <v>3673.3</v>
      </c>
    </row>
    <row r="97" spans="1:10" x14ac:dyDescent="0.45">
      <c r="A97" s="2" t="s">
        <v>406</v>
      </c>
      <c r="B97" s="2" t="str">
        <f t="shared" si="9"/>
        <v>Male</v>
      </c>
      <c r="C97" s="2" t="str">
        <f t="shared" si="10"/>
        <v>Australia</v>
      </c>
      <c r="D97" s="2" t="str">
        <f t="shared" si="11"/>
        <v>English</v>
      </c>
      <c r="E97" s="2" t="str">
        <f t="shared" si="12"/>
        <v>R&amp;B</v>
      </c>
      <c r="F97" s="2" t="str">
        <f t="shared" si="13"/>
        <v>Group</v>
      </c>
      <c r="G97" s="2">
        <f t="shared" si="14"/>
        <v>2014</v>
      </c>
      <c r="H97" s="2">
        <f t="shared" si="15"/>
        <v>9513</v>
      </c>
      <c r="I97" s="2">
        <f t="shared" si="16"/>
        <v>9329.2999999999993</v>
      </c>
      <c r="J97" s="2">
        <f t="shared" si="17"/>
        <v>185.8</v>
      </c>
    </row>
    <row r="98" spans="1:10" x14ac:dyDescent="0.45">
      <c r="A98" s="2" t="s">
        <v>349</v>
      </c>
      <c r="B98" s="2" t="str">
        <f t="shared" si="9"/>
        <v>Male</v>
      </c>
      <c r="C98" s="2" t="str">
        <f t="shared" si="10"/>
        <v>United States</v>
      </c>
      <c r="D98" s="2" t="str">
        <f t="shared" si="11"/>
        <v>Spanish</v>
      </c>
      <c r="E98" s="2" t="str">
        <f t="shared" si="12"/>
        <v>Reggaeton</v>
      </c>
      <c r="F98" s="2" t="str">
        <f t="shared" si="13"/>
        <v>Solo</v>
      </c>
      <c r="G98" s="2">
        <f t="shared" si="14"/>
        <v>1999</v>
      </c>
      <c r="H98" s="2">
        <f t="shared" si="15"/>
        <v>10776.2</v>
      </c>
      <c r="I98" s="2">
        <f t="shared" si="16"/>
        <v>10712.5</v>
      </c>
      <c r="J98" s="2">
        <f t="shared" si="17"/>
        <v>63.9</v>
      </c>
    </row>
    <row r="99" spans="1:10" x14ac:dyDescent="0.45">
      <c r="A99" s="2" t="s">
        <v>271</v>
      </c>
      <c r="B99" s="2" t="str">
        <f t="shared" si="9"/>
        <v>Male</v>
      </c>
      <c r="C99" s="2" t="str">
        <f t="shared" si="10"/>
        <v>United States</v>
      </c>
      <c r="D99" s="2" t="str">
        <f t="shared" si="11"/>
        <v>English</v>
      </c>
      <c r="E99" s="2" t="str">
        <f t="shared" si="12"/>
        <v>Hip-Hop</v>
      </c>
      <c r="F99" s="2" t="str">
        <f t="shared" si="13"/>
        <v>Solo</v>
      </c>
      <c r="G99" s="2">
        <f t="shared" si="14"/>
        <v>2008</v>
      </c>
      <c r="H99" s="2">
        <f t="shared" si="15"/>
        <v>13281.8</v>
      </c>
      <c r="I99" s="2">
        <f t="shared" si="16"/>
        <v>12309.2</v>
      </c>
      <c r="J99" s="2">
        <f t="shared" si="17"/>
        <v>978.1</v>
      </c>
    </row>
    <row r="100" spans="1:10" x14ac:dyDescent="0.45">
      <c r="A100" s="2" t="s">
        <v>40</v>
      </c>
      <c r="B100" s="2" t="str">
        <f t="shared" si="9"/>
        <v>Male</v>
      </c>
      <c r="C100" s="2" t="str">
        <f t="shared" si="10"/>
        <v>United States</v>
      </c>
      <c r="D100" s="2" t="str">
        <f t="shared" si="11"/>
        <v>English</v>
      </c>
      <c r="E100" s="2" t="str">
        <f t="shared" si="12"/>
        <v>R&amp;B</v>
      </c>
      <c r="F100" s="2" t="str">
        <f t="shared" si="13"/>
        <v>Solo</v>
      </c>
      <c r="G100" s="2">
        <f t="shared" si="14"/>
        <v>2005</v>
      </c>
      <c r="H100" s="2">
        <f t="shared" si="15"/>
        <v>43963.8</v>
      </c>
      <c r="I100" s="2">
        <f t="shared" si="16"/>
        <v>24455.7</v>
      </c>
      <c r="J100" s="2">
        <f t="shared" si="17"/>
        <v>19523.900000000001</v>
      </c>
    </row>
    <row r="101" spans="1:10" x14ac:dyDescent="0.45">
      <c r="A101" s="2" t="s">
        <v>315</v>
      </c>
      <c r="B101" s="2" t="str">
        <f t="shared" si="9"/>
        <v>Male</v>
      </c>
      <c r="C101" s="2" t="str">
        <f t="shared" si="10"/>
        <v>United States</v>
      </c>
      <c r="D101" s="2" t="str">
        <f t="shared" si="11"/>
        <v>English</v>
      </c>
      <c r="E101" s="2" t="str">
        <f t="shared" si="12"/>
        <v>Country</v>
      </c>
      <c r="F101" s="2" t="str">
        <f t="shared" si="13"/>
        <v>Solo</v>
      </c>
      <c r="G101" s="2">
        <f t="shared" si="14"/>
        <v>2015</v>
      </c>
      <c r="H101" s="2">
        <f t="shared" si="15"/>
        <v>11678.7</v>
      </c>
      <c r="I101" s="2">
        <f t="shared" si="16"/>
        <v>9802.2000000000007</v>
      </c>
      <c r="J101" s="2">
        <f t="shared" si="17"/>
        <v>1883.1</v>
      </c>
    </row>
    <row r="102" spans="1:10" x14ac:dyDescent="0.45">
      <c r="A102" s="2" t="s">
        <v>261</v>
      </c>
      <c r="B102" s="2" t="str">
        <f t="shared" si="9"/>
        <v>Male</v>
      </c>
      <c r="C102" s="2" t="str">
        <f t="shared" si="10"/>
        <v>Mexico</v>
      </c>
      <c r="D102" s="2" t="str">
        <f t="shared" si="11"/>
        <v>Spanish</v>
      </c>
      <c r="E102" s="2" t="str">
        <f t="shared" si="12"/>
        <v>Regional Mexican</v>
      </c>
      <c r="F102" s="2" t="str">
        <f t="shared" si="13"/>
        <v>Solo</v>
      </c>
      <c r="G102" s="2">
        <f t="shared" si="14"/>
        <v>2016</v>
      </c>
      <c r="H102" s="2">
        <f t="shared" si="15"/>
        <v>13503.4</v>
      </c>
      <c r="I102" s="2">
        <f t="shared" si="16"/>
        <v>9602.2999999999993</v>
      </c>
      <c r="J102" s="2">
        <f t="shared" si="17"/>
        <v>3932.5</v>
      </c>
    </row>
    <row r="103" spans="1:10" x14ac:dyDescent="0.45">
      <c r="A103" s="2" t="s">
        <v>338</v>
      </c>
      <c r="B103" s="2" t="str">
        <f t="shared" si="9"/>
        <v>Female</v>
      </c>
      <c r="C103" s="2" t="str">
        <f t="shared" si="10"/>
        <v>United States</v>
      </c>
      <c r="D103" s="2" t="str">
        <f t="shared" si="11"/>
        <v>English</v>
      </c>
      <c r="E103" s="2" t="str">
        <f t="shared" si="12"/>
        <v>Pop</v>
      </c>
      <c r="F103" s="2" t="str">
        <f t="shared" si="13"/>
        <v>Solo</v>
      </c>
      <c r="G103" s="2">
        <f t="shared" si="14"/>
        <v>1999</v>
      </c>
      <c r="H103" s="2">
        <f t="shared" si="15"/>
        <v>11060.5</v>
      </c>
      <c r="I103" s="2">
        <f t="shared" si="16"/>
        <v>6055.9</v>
      </c>
      <c r="J103" s="2">
        <f t="shared" si="17"/>
        <v>5004.6000000000004</v>
      </c>
    </row>
    <row r="104" spans="1:10" x14ac:dyDescent="0.45">
      <c r="A104" s="2" t="s">
        <v>270</v>
      </c>
      <c r="B104" s="2" t="str">
        <f t="shared" si="9"/>
        <v>Mixed</v>
      </c>
      <c r="C104" s="2" t="str">
        <f t="shared" si="10"/>
        <v>United States</v>
      </c>
      <c r="D104" s="2" t="str">
        <f t="shared" si="11"/>
        <v>English</v>
      </c>
      <c r="E104" s="2" t="str">
        <f t="shared" si="12"/>
        <v>Alternative</v>
      </c>
      <c r="F104" s="2" t="str">
        <f t="shared" si="13"/>
        <v>Group</v>
      </c>
      <c r="G104" s="2">
        <f t="shared" si="14"/>
        <v>2008</v>
      </c>
      <c r="H104" s="2">
        <f t="shared" si="15"/>
        <v>13287</v>
      </c>
      <c r="I104" s="2">
        <f t="shared" si="16"/>
        <v>13294.9</v>
      </c>
      <c r="J104" s="2">
        <f t="shared" si="17"/>
        <v>0</v>
      </c>
    </row>
    <row r="105" spans="1:10" x14ac:dyDescent="0.45">
      <c r="A105" s="2" t="s">
        <v>437</v>
      </c>
      <c r="B105" s="2" t="str">
        <f t="shared" si="9"/>
        <v>Female</v>
      </c>
      <c r="C105" s="2" t="str">
        <f t="shared" si="10"/>
        <v>United States</v>
      </c>
      <c r="D105" s="2" t="str">
        <f t="shared" si="11"/>
        <v>English</v>
      </c>
      <c r="E105" s="2" t="str">
        <f t="shared" si="12"/>
        <v>Pop</v>
      </c>
      <c r="F105" s="2" t="str">
        <f t="shared" si="13"/>
        <v>Solo</v>
      </c>
      <c r="G105" s="2">
        <f t="shared" si="14"/>
        <v>2012</v>
      </c>
      <c r="H105" s="2">
        <f t="shared" si="15"/>
        <v>8831</v>
      </c>
      <c r="I105" s="2">
        <f t="shared" si="16"/>
        <v>6995.1</v>
      </c>
      <c r="J105" s="2">
        <f t="shared" si="17"/>
        <v>1840.3</v>
      </c>
    </row>
    <row r="106" spans="1:10" x14ac:dyDescent="0.45">
      <c r="A106" s="2" t="s">
        <v>357</v>
      </c>
      <c r="B106" s="2" t="str">
        <f t="shared" si="9"/>
        <v>Mixed</v>
      </c>
      <c r="C106" s="2" t="str">
        <f t="shared" si="10"/>
        <v>United Kingdom</v>
      </c>
      <c r="D106" s="2" t="str">
        <f t="shared" si="11"/>
        <v>English</v>
      </c>
      <c r="E106" s="2" t="str">
        <f t="shared" si="12"/>
        <v>Pop</v>
      </c>
      <c r="F106" s="2" t="str">
        <f t="shared" si="13"/>
        <v>Group</v>
      </c>
      <c r="G106" s="2">
        <f t="shared" si="14"/>
        <v>2012</v>
      </c>
      <c r="H106" s="2">
        <f t="shared" si="15"/>
        <v>10711.2</v>
      </c>
      <c r="I106" s="2">
        <f t="shared" si="16"/>
        <v>10381.4</v>
      </c>
      <c r="J106" s="2">
        <f t="shared" si="17"/>
        <v>333.5</v>
      </c>
    </row>
    <row r="107" spans="1:10" x14ac:dyDescent="0.45">
      <c r="A107" s="2" t="s">
        <v>37</v>
      </c>
      <c r="B107" s="2" t="str">
        <f t="shared" si="9"/>
        <v>Male</v>
      </c>
      <c r="C107" s="2" t="str">
        <f t="shared" si="10"/>
        <v>United Kingdom</v>
      </c>
      <c r="D107" s="2" t="str">
        <f t="shared" si="11"/>
        <v>English</v>
      </c>
      <c r="E107" s="2" t="str">
        <f t="shared" si="12"/>
        <v>Rock</v>
      </c>
      <c r="F107" s="2" t="str">
        <f t="shared" si="13"/>
        <v>Group</v>
      </c>
      <c r="G107" s="2">
        <f t="shared" si="14"/>
        <v>1999</v>
      </c>
      <c r="H107" s="2">
        <f t="shared" si="15"/>
        <v>46720.4</v>
      </c>
      <c r="I107" s="2">
        <f t="shared" si="16"/>
        <v>42837.1</v>
      </c>
      <c r="J107" s="2">
        <f t="shared" si="17"/>
        <v>3901.3</v>
      </c>
    </row>
    <row r="108" spans="1:10" x14ac:dyDescent="0.45">
      <c r="A108" s="2" t="s">
        <v>369</v>
      </c>
      <c r="B108" s="2" t="str">
        <f t="shared" si="9"/>
        <v>Male</v>
      </c>
      <c r="C108" s="2" t="str">
        <f t="shared" si="10"/>
        <v>United States</v>
      </c>
      <c r="D108" s="2" t="str">
        <f t="shared" si="11"/>
        <v>English</v>
      </c>
      <c r="E108" s="2" t="str">
        <f t="shared" si="12"/>
        <v>Pop</v>
      </c>
      <c r="F108" s="2" t="str">
        <f t="shared" si="13"/>
        <v>Solo</v>
      </c>
      <c r="G108" s="2">
        <f t="shared" si="14"/>
        <v>2017</v>
      </c>
      <c r="H108" s="2">
        <f t="shared" si="15"/>
        <v>10313.5</v>
      </c>
      <c r="I108" s="2">
        <f t="shared" si="16"/>
        <v>10145.1</v>
      </c>
      <c r="J108" s="2">
        <f t="shared" si="17"/>
        <v>172</v>
      </c>
    </row>
    <row r="109" spans="1:10" x14ac:dyDescent="0.45">
      <c r="A109" s="2" t="s">
        <v>329</v>
      </c>
      <c r="B109" s="2" t="str">
        <f t="shared" si="9"/>
        <v>Male</v>
      </c>
      <c r="C109" s="2" t="str">
        <f t="shared" si="10"/>
        <v>United States</v>
      </c>
      <c r="D109" s="2" t="str">
        <f t="shared" si="11"/>
        <v>English</v>
      </c>
      <c r="E109" s="2" t="str">
        <f t="shared" si="12"/>
        <v>Rock</v>
      </c>
      <c r="F109" s="2" t="str">
        <f t="shared" si="13"/>
        <v>Group</v>
      </c>
      <c r="G109" s="2">
        <f t="shared" si="14"/>
        <v>1968</v>
      </c>
      <c r="H109" s="2">
        <f t="shared" si="15"/>
        <v>11314.2</v>
      </c>
      <c r="I109" s="2">
        <f t="shared" si="16"/>
        <v>11274.4</v>
      </c>
      <c r="J109" s="2">
        <f t="shared" si="17"/>
        <v>44.7</v>
      </c>
    </row>
    <row r="110" spans="1:10" x14ac:dyDescent="0.45">
      <c r="A110" s="2" t="s">
        <v>321</v>
      </c>
      <c r="B110" s="2" t="str">
        <f t="shared" si="9"/>
        <v>Male</v>
      </c>
      <c r="C110" s="2" t="str">
        <f t="shared" si="10"/>
        <v>Chile</v>
      </c>
      <c r="D110" s="2" t="str">
        <f t="shared" si="11"/>
        <v>Spanish</v>
      </c>
      <c r="E110" s="2" t="str">
        <f t="shared" si="12"/>
        <v>Reggaeton</v>
      </c>
      <c r="F110" s="2" t="str">
        <f t="shared" si="13"/>
        <v>Solo</v>
      </c>
      <c r="G110" s="2">
        <f t="shared" si="14"/>
        <v>2019</v>
      </c>
      <c r="H110" s="2">
        <f t="shared" si="15"/>
        <v>11566.2</v>
      </c>
      <c r="I110" s="2">
        <f t="shared" si="16"/>
        <v>7224.2</v>
      </c>
      <c r="J110" s="2">
        <f t="shared" si="17"/>
        <v>4349.3999999999996</v>
      </c>
    </row>
    <row r="111" spans="1:10" x14ac:dyDescent="0.45">
      <c r="A111" s="2" t="s">
        <v>143</v>
      </c>
      <c r="B111" s="2" t="str">
        <f t="shared" si="9"/>
        <v>Male</v>
      </c>
      <c r="C111" s="2" t="str">
        <f t="shared" si="10"/>
        <v>United States</v>
      </c>
      <c r="D111" s="2" t="str">
        <f t="shared" si="11"/>
        <v>English</v>
      </c>
      <c r="E111" s="2" t="str">
        <f t="shared" si="12"/>
        <v>Hip-Hop</v>
      </c>
      <c r="F111" s="2" t="str">
        <f t="shared" si="13"/>
        <v>Solo</v>
      </c>
      <c r="G111" s="2">
        <f t="shared" si="14"/>
        <v>2015</v>
      </c>
      <c r="H111" s="2">
        <f t="shared" si="15"/>
        <v>19977.5</v>
      </c>
      <c r="I111" s="2">
        <f t="shared" si="16"/>
        <v>9365.1</v>
      </c>
      <c r="J111" s="2">
        <f t="shared" si="17"/>
        <v>10617.1</v>
      </c>
    </row>
    <row r="112" spans="1:10" x14ac:dyDescent="0.45">
      <c r="A112" s="2" t="s">
        <v>49</v>
      </c>
      <c r="B112" s="2" t="str">
        <f t="shared" si="9"/>
        <v>Male</v>
      </c>
      <c r="C112" s="2" t="str">
        <f t="shared" si="10"/>
        <v>United States</v>
      </c>
      <c r="D112" s="2" t="str">
        <f t="shared" si="11"/>
        <v>Spanish</v>
      </c>
      <c r="E112" s="2" t="str">
        <f t="shared" si="12"/>
        <v>Reggaeton</v>
      </c>
      <c r="F112" s="2" t="str">
        <f t="shared" si="13"/>
        <v>Solo</v>
      </c>
      <c r="G112" s="2">
        <f t="shared" si="14"/>
        <v>1991</v>
      </c>
      <c r="H112" s="2">
        <f t="shared" si="15"/>
        <v>41405.4</v>
      </c>
      <c r="I112" s="2">
        <f t="shared" si="16"/>
        <v>19772.099999999999</v>
      </c>
      <c r="J112" s="2">
        <f t="shared" si="17"/>
        <v>21650</v>
      </c>
    </row>
    <row r="113" spans="1:10" x14ac:dyDescent="0.45">
      <c r="A113" s="2" t="s">
        <v>179</v>
      </c>
      <c r="B113" s="2" t="str">
        <f t="shared" si="9"/>
        <v>Male</v>
      </c>
      <c r="C113" s="2" t="str">
        <f t="shared" si="10"/>
        <v>France</v>
      </c>
      <c r="D113" s="2" t="str">
        <f t="shared" si="11"/>
        <v>English</v>
      </c>
      <c r="E113" s="2" t="str">
        <f t="shared" si="12"/>
        <v>EDM</v>
      </c>
      <c r="F113" s="2" t="str">
        <f t="shared" si="13"/>
        <v>Group</v>
      </c>
      <c r="G113" s="2">
        <f t="shared" si="14"/>
        <v>1994</v>
      </c>
      <c r="H113" s="2">
        <f t="shared" si="15"/>
        <v>17316.599999999999</v>
      </c>
      <c r="I113" s="2">
        <f t="shared" si="16"/>
        <v>10309.700000000001</v>
      </c>
      <c r="J113" s="2">
        <f t="shared" si="17"/>
        <v>7013.9</v>
      </c>
    </row>
    <row r="114" spans="1:10" x14ac:dyDescent="0.45">
      <c r="A114" s="2" t="s">
        <v>388</v>
      </c>
      <c r="B114" s="2" t="str">
        <f t="shared" si="9"/>
        <v>Male</v>
      </c>
      <c r="C114" s="2" t="str">
        <f t="shared" si="10"/>
        <v>United States</v>
      </c>
      <c r="D114" s="2" t="str">
        <f t="shared" si="11"/>
        <v>Spanish</v>
      </c>
      <c r="E114" s="2" t="str">
        <f t="shared" si="12"/>
        <v>Reggaeton</v>
      </c>
      <c r="F114" s="2" t="str">
        <f t="shared" si="13"/>
        <v>Solo</v>
      </c>
      <c r="G114" s="2">
        <f t="shared" si="14"/>
        <v>2014</v>
      </c>
      <c r="H114" s="2">
        <f t="shared" si="15"/>
        <v>9948.7000000000007</v>
      </c>
      <c r="I114" s="2">
        <f t="shared" si="16"/>
        <v>4105.3</v>
      </c>
      <c r="J114" s="2">
        <f t="shared" si="17"/>
        <v>5843.4</v>
      </c>
    </row>
    <row r="115" spans="1:10" x14ac:dyDescent="0.45">
      <c r="A115" s="2" t="s">
        <v>204</v>
      </c>
      <c r="B115" s="2" t="str">
        <f t="shared" si="9"/>
        <v>Male</v>
      </c>
      <c r="C115" s="2" t="str">
        <f t="shared" si="10"/>
        <v>Canada</v>
      </c>
      <c r="D115" s="2" t="str">
        <f t="shared" si="11"/>
        <v>English</v>
      </c>
      <c r="E115" s="2" t="str">
        <f t="shared" si="12"/>
        <v>R&amp;B</v>
      </c>
      <c r="F115" s="2" t="str">
        <f t="shared" si="13"/>
        <v>Solo</v>
      </c>
      <c r="G115" s="2">
        <f t="shared" si="14"/>
        <v>2014</v>
      </c>
      <c r="H115" s="2">
        <f t="shared" si="15"/>
        <v>15876.2</v>
      </c>
      <c r="I115" s="2">
        <f t="shared" si="16"/>
        <v>12905.1</v>
      </c>
      <c r="J115" s="2">
        <f t="shared" si="17"/>
        <v>2982.4</v>
      </c>
    </row>
    <row r="116" spans="1:10" x14ac:dyDescent="0.45">
      <c r="A116" s="2" t="s">
        <v>372</v>
      </c>
      <c r="B116" s="2" t="str">
        <f t="shared" si="9"/>
        <v>Male</v>
      </c>
      <c r="C116" s="2" t="str">
        <f t="shared" si="10"/>
        <v>Venezuela</v>
      </c>
      <c r="D116" s="2" t="str">
        <f t="shared" si="11"/>
        <v>Spanish</v>
      </c>
      <c r="E116" s="2" t="str">
        <f t="shared" si="12"/>
        <v>Latin</v>
      </c>
      <c r="F116" s="2" t="str">
        <f t="shared" si="13"/>
        <v>Solo</v>
      </c>
      <c r="G116" s="2">
        <f t="shared" si="14"/>
        <v>2009</v>
      </c>
      <c r="H116" s="2">
        <f t="shared" si="15"/>
        <v>10234.299999999999</v>
      </c>
      <c r="I116" s="2">
        <f t="shared" si="16"/>
        <v>8102.5</v>
      </c>
      <c r="J116" s="2">
        <f t="shared" si="17"/>
        <v>2138.3000000000002</v>
      </c>
    </row>
    <row r="117" spans="1:10" x14ac:dyDescent="0.45">
      <c r="A117" s="2" t="s">
        <v>350</v>
      </c>
      <c r="B117" s="2" t="str">
        <f t="shared" si="9"/>
        <v>Male</v>
      </c>
      <c r="C117" s="2" t="str">
        <f t="shared" si="10"/>
        <v>United States</v>
      </c>
      <c r="D117" s="2" t="str">
        <f t="shared" si="11"/>
        <v>Spanish</v>
      </c>
      <c r="E117" s="2" t="str">
        <f t="shared" si="12"/>
        <v>Reggaeton</v>
      </c>
      <c r="F117" s="2" t="str">
        <f t="shared" si="13"/>
        <v>Solo</v>
      </c>
      <c r="G117" s="2">
        <f t="shared" si="14"/>
        <v>2010</v>
      </c>
      <c r="H117" s="2">
        <f t="shared" si="15"/>
        <v>10772</v>
      </c>
      <c r="I117" s="2">
        <f t="shared" si="16"/>
        <v>595.6</v>
      </c>
      <c r="J117" s="2">
        <f t="shared" si="17"/>
        <v>10180.6</v>
      </c>
    </row>
    <row r="118" spans="1:10" x14ac:dyDescent="0.45">
      <c r="A118" s="2" t="s">
        <v>445</v>
      </c>
      <c r="B118" s="2" t="str">
        <f t="shared" si="9"/>
        <v>Male</v>
      </c>
      <c r="C118" s="2" t="str">
        <f t="shared" si="10"/>
        <v>United Kingdom</v>
      </c>
      <c r="D118" s="2" t="str">
        <f t="shared" si="11"/>
        <v>English</v>
      </c>
      <c r="E118" s="2" t="str">
        <f t="shared" si="12"/>
        <v>Hip-Hop</v>
      </c>
      <c r="F118" s="2" t="str">
        <f t="shared" si="13"/>
        <v>Solo</v>
      </c>
      <c r="G118" s="2">
        <f t="shared" si="14"/>
        <v>2015</v>
      </c>
      <c r="H118" s="2">
        <f t="shared" si="15"/>
        <v>8715.2000000000007</v>
      </c>
      <c r="I118" s="2">
        <f t="shared" si="16"/>
        <v>7648.8</v>
      </c>
      <c r="J118" s="2">
        <f t="shared" si="17"/>
        <v>1071.5999999999999</v>
      </c>
    </row>
    <row r="119" spans="1:10" x14ac:dyDescent="0.45">
      <c r="A119" s="2" t="s">
        <v>358</v>
      </c>
      <c r="B119" s="2" t="str">
        <f t="shared" si="9"/>
        <v>Male</v>
      </c>
      <c r="C119" s="2" t="str">
        <f t="shared" si="10"/>
        <v>United Kingdom</v>
      </c>
      <c r="D119" s="2" t="str">
        <f t="shared" si="11"/>
        <v>English</v>
      </c>
      <c r="E119" s="2" t="str">
        <f t="shared" si="12"/>
        <v>Rock</v>
      </c>
      <c r="F119" s="2" t="str">
        <f t="shared" si="13"/>
        <v>Solo</v>
      </c>
      <c r="G119" s="2">
        <f t="shared" si="14"/>
        <v>1967</v>
      </c>
      <c r="H119" s="2">
        <f t="shared" si="15"/>
        <v>10696.6</v>
      </c>
      <c r="I119" s="2">
        <f t="shared" si="16"/>
        <v>8379.6</v>
      </c>
      <c r="J119" s="2">
        <f t="shared" si="17"/>
        <v>2317</v>
      </c>
    </row>
    <row r="120" spans="1:10" x14ac:dyDescent="0.45">
      <c r="A120" s="2" t="s">
        <v>45</v>
      </c>
      <c r="B120" s="2" t="str">
        <f t="shared" si="9"/>
        <v>Male</v>
      </c>
      <c r="C120" s="2" t="str">
        <f t="shared" si="10"/>
        <v>France</v>
      </c>
      <c r="D120" s="2" t="str">
        <f t="shared" si="11"/>
        <v>English</v>
      </c>
      <c r="E120" s="2" t="str">
        <f t="shared" si="12"/>
        <v>EDM</v>
      </c>
      <c r="F120" s="2" t="str">
        <f t="shared" si="13"/>
        <v>Solo</v>
      </c>
      <c r="G120" s="2">
        <f t="shared" si="14"/>
        <v>1990</v>
      </c>
      <c r="H120" s="2">
        <f t="shared" si="15"/>
        <v>42059.5</v>
      </c>
      <c r="I120" s="2">
        <f t="shared" si="16"/>
        <v>30750.799999999999</v>
      </c>
      <c r="J120" s="2">
        <f t="shared" si="17"/>
        <v>11325.3</v>
      </c>
    </row>
    <row r="121" spans="1:10" x14ac:dyDescent="0.45">
      <c r="A121" s="2" t="s">
        <v>366</v>
      </c>
      <c r="B121" s="2" t="str">
        <f t="shared" si="9"/>
        <v>Male</v>
      </c>
      <c r="C121" s="2" t="str">
        <f t="shared" si="10"/>
        <v>United States</v>
      </c>
      <c r="D121" s="2" t="str">
        <f t="shared" si="11"/>
        <v>Spanish</v>
      </c>
      <c r="E121" s="2" t="str">
        <f t="shared" si="12"/>
        <v>Reggaeton</v>
      </c>
      <c r="F121" s="2" t="str">
        <f t="shared" si="13"/>
        <v>Solo</v>
      </c>
      <c r="G121" s="2">
        <f t="shared" si="14"/>
        <v>2004</v>
      </c>
      <c r="H121" s="2">
        <f t="shared" si="15"/>
        <v>10352.799999999999</v>
      </c>
      <c r="I121" s="2">
        <f t="shared" si="16"/>
        <v>1937.7</v>
      </c>
      <c r="J121" s="2">
        <f t="shared" si="17"/>
        <v>8415.1</v>
      </c>
    </row>
    <row r="122" spans="1:10" x14ac:dyDescent="0.45">
      <c r="A122" s="2" t="s">
        <v>436</v>
      </c>
      <c r="B122" s="2" t="str">
        <f t="shared" si="9"/>
        <v>Male</v>
      </c>
      <c r="C122" s="2" t="str">
        <f t="shared" si="10"/>
        <v>United States</v>
      </c>
      <c r="D122" s="2" t="str">
        <f t="shared" si="11"/>
        <v>English</v>
      </c>
      <c r="E122" s="2" t="str">
        <f t="shared" si="12"/>
        <v>Metal</v>
      </c>
      <c r="F122" s="2" t="str">
        <f t="shared" si="13"/>
        <v>Group</v>
      </c>
      <c r="G122" s="2">
        <f t="shared" si="14"/>
        <v>1995</v>
      </c>
      <c r="H122" s="2">
        <f t="shared" si="15"/>
        <v>8848.2999999999993</v>
      </c>
      <c r="I122" s="2">
        <f t="shared" si="16"/>
        <v>8855.1</v>
      </c>
      <c r="J122" s="2">
        <f t="shared" si="17"/>
        <v>0</v>
      </c>
    </row>
    <row r="123" spans="1:10" x14ac:dyDescent="0.45">
      <c r="A123" s="2" t="s">
        <v>181</v>
      </c>
      <c r="B123" s="2" t="str">
        <f t="shared" si="9"/>
        <v>Female</v>
      </c>
      <c r="C123" s="2" t="str">
        <f t="shared" si="10"/>
        <v>United States</v>
      </c>
      <c r="D123" s="2" t="str">
        <f t="shared" si="11"/>
        <v>English</v>
      </c>
      <c r="E123" s="2" t="str">
        <f t="shared" si="12"/>
        <v>Pop</v>
      </c>
      <c r="F123" s="2" t="str">
        <f t="shared" si="13"/>
        <v>Solo</v>
      </c>
      <c r="G123" s="2">
        <f t="shared" si="14"/>
        <v>2008</v>
      </c>
      <c r="H123" s="2">
        <f t="shared" si="15"/>
        <v>17119.5</v>
      </c>
      <c r="I123" s="2">
        <f t="shared" si="16"/>
        <v>11625.6</v>
      </c>
      <c r="J123" s="2">
        <f t="shared" si="17"/>
        <v>5498.6</v>
      </c>
    </row>
    <row r="124" spans="1:10" x14ac:dyDescent="0.45">
      <c r="A124" s="2" t="s">
        <v>114</v>
      </c>
      <c r="B124" s="2" t="str">
        <f t="shared" si="9"/>
        <v>Male</v>
      </c>
      <c r="C124" s="2" t="str">
        <f t="shared" si="10"/>
        <v>Germany</v>
      </c>
      <c r="D124" s="2" t="str">
        <f t="shared" si="11"/>
        <v>German</v>
      </c>
      <c r="E124" s="2" t="str">
        <f t="shared" si="12"/>
        <v>Spoken Word</v>
      </c>
      <c r="F124" s="2" t="str">
        <f t="shared" si="13"/>
        <v>Group</v>
      </c>
      <c r="G124" s="2">
        <f t="shared" si="14"/>
        <v>1979</v>
      </c>
      <c r="H124" s="2">
        <f t="shared" si="15"/>
        <v>24607</v>
      </c>
      <c r="I124" s="2">
        <f t="shared" si="16"/>
        <v>24525.4</v>
      </c>
      <c r="J124" s="2">
        <f t="shared" si="17"/>
        <v>81.599999999999994</v>
      </c>
    </row>
    <row r="125" spans="1:10" x14ac:dyDescent="0.45">
      <c r="A125" s="2" t="s">
        <v>135</v>
      </c>
      <c r="B125" s="2" t="str">
        <f t="shared" si="9"/>
        <v>Male</v>
      </c>
      <c r="C125" s="2" t="str">
        <f t="shared" si="10"/>
        <v>United States</v>
      </c>
      <c r="D125" s="2" t="str">
        <f t="shared" si="11"/>
        <v>English</v>
      </c>
      <c r="E125" s="2" t="str">
        <f t="shared" si="12"/>
        <v>EDM</v>
      </c>
      <c r="F125" s="2" t="str">
        <f t="shared" si="13"/>
        <v>Solo</v>
      </c>
      <c r="G125" s="2">
        <f t="shared" si="14"/>
        <v>2002</v>
      </c>
      <c r="H125" s="2">
        <f t="shared" si="15"/>
        <v>20670.8</v>
      </c>
      <c r="I125" s="2">
        <f t="shared" si="16"/>
        <v>5352.4</v>
      </c>
      <c r="J125" s="2">
        <f t="shared" si="17"/>
        <v>15318.4</v>
      </c>
    </row>
    <row r="126" spans="1:10" x14ac:dyDescent="0.45">
      <c r="A126" s="2" t="s">
        <v>508</v>
      </c>
      <c r="B126" s="2" t="str">
        <f t="shared" si="9"/>
        <v>Male</v>
      </c>
      <c r="C126" s="2" t="str">
        <f t="shared" si="10"/>
        <v>United Kingdom</v>
      </c>
      <c r="D126" s="2" t="str">
        <f t="shared" si="11"/>
        <v>English</v>
      </c>
      <c r="E126" s="2" t="str">
        <f t="shared" si="12"/>
        <v>Rock</v>
      </c>
      <c r="F126" s="2" t="str">
        <f t="shared" si="13"/>
        <v>Group</v>
      </c>
      <c r="G126" s="2">
        <f t="shared" si="14"/>
        <v>1978</v>
      </c>
      <c r="H126" s="2">
        <f t="shared" si="15"/>
        <v>7891.3</v>
      </c>
      <c r="I126" s="2">
        <f t="shared" si="16"/>
        <v>7595.8</v>
      </c>
      <c r="J126" s="2">
        <f t="shared" si="17"/>
        <v>298.7</v>
      </c>
    </row>
    <row r="127" spans="1:10" x14ac:dyDescent="0.45">
      <c r="A127" s="2" t="s">
        <v>517</v>
      </c>
      <c r="B127" s="2" t="str">
        <f t="shared" si="9"/>
        <v>Male</v>
      </c>
      <c r="C127" s="2" t="str">
        <f t="shared" si="10"/>
        <v>United Kingdom</v>
      </c>
      <c r="D127" s="2" t="str">
        <f t="shared" si="11"/>
        <v>English</v>
      </c>
      <c r="E127" s="2" t="str">
        <f t="shared" si="12"/>
        <v>EDM</v>
      </c>
      <c r="F127" s="2" t="str">
        <f t="shared" si="13"/>
        <v>Group</v>
      </c>
      <c r="G127" s="2">
        <f t="shared" si="14"/>
        <v>2010</v>
      </c>
      <c r="H127" s="2">
        <f t="shared" si="15"/>
        <v>7787.8</v>
      </c>
      <c r="I127" s="2">
        <f t="shared" si="16"/>
        <v>5988.8</v>
      </c>
      <c r="J127" s="2">
        <f t="shared" si="17"/>
        <v>1801.6</v>
      </c>
    </row>
    <row r="128" spans="1:10" x14ac:dyDescent="0.45">
      <c r="A128" s="2" t="s">
        <v>125</v>
      </c>
      <c r="B128" s="2" t="str">
        <f t="shared" si="9"/>
        <v>Mixed</v>
      </c>
      <c r="C128" s="2" t="str">
        <f t="shared" si="10"/>
        <v>United States</v>
      </c>
      <c r="D128" s="2" t="str">
        <f t="shared" si="11"/>
        <v>English</v>
      </c>
      <c r="E128" s="2" t="str">
        <f t="shared" si="12"/>
        <v>Soundtrack</v>
      </c>
      <c r="F128" s="2" t="str">
        <f t="shared" si="13"/>
        <v>Group</v>
      </c>
      <c r="G128" s="2">
        <f t="shared" si="14"/>
        <v>1949</v>
      </c>
      <c r="H128" s="2">
        <f t="shared" si="15"/>
        <v>22236.1</v>
      </c>
      <c r="I128" s="2">
        <f t="shared" si="16"/>
        <v>287.8</v>
      </c>
      <c r="J128" s="2">
        <f t="shared" si="17"/>
        <v>21966.6</v>
      </c>
    </row>
    <row r="129" spans="1:10" x14ac:dyDescent="0.45">
      <c r="A129" s="2" t="s">
        <v>530</v>
      </c>
      <c r="B129" s="2" t="str">
        <f t="shared" si="9"/>
        <v>Male</v>
      </c>
      <c r="C129" s="2" t="str">
        <f t="shared" si="10"/>
        <v>United States</v>
      </c>
      <c r="D129" s="2" t="str">
        <f t="shared" si="11"/>
        <v>English</v>
      </c>
      <c r="E129" s="2" t="str">
        <f t="shared" si="12"/>
        <v>Metal</v>
      </c>
      <c r="F129" s="2" t="str">
        <f t="shared" si="13"/>
        <v>Group</v>
      </c>
      <c r="G129" s="2">
        <f t="shared" si="14"/>
        <v>2000</v>
      </c>
      <c r="H129" s="2">
        <f t="shared" si="15"/>
        <v>7612.3</v>
      </c>
      <c r="I129" s="2">
        <f t="shared" si="16"/>
        <v>7614.9</v>
      </c>
      <c r="J129" s="2">
        <f t="shared" si="17"/>
        <v>0</v>
      </c>
    </row>
    <row r="130" spans="1:10" x14ac:dyDescent="0.45">
      <c r="A130" s="2" t="s">
        <v>333</v>
      </c>
      <c r="B130" s="2" t="str">
        <f t="shared" ref="B130:B193" si="18">VLOOKUP(A130,Spotify1,2,FALSE)</f>
        <v>Male</v>
      </c>
      <c r="C130" s="2" t="str">
        <f t="shared" ref="C130:C193" si="19">VLOOKUP(A130,Spotify1,3,FALSE)</f>
        <v>United States</v>
      </c>
      <c r="D130" s="2" t="str">
        <f t="shared" ref="D130:D193" si="20">VLOOKUP(A130,Spotify1,4,FALSE)</f>
        <v>English</v>
      </c>
      <c r="E130" s="2" t="str">
        <f t="shared" ref="E130:E193" si="21">VLOOKUP(A130,Spotify1,5,FALSE)</f>
        <v>Hip-Hop</v>
      </c>
      <c r="F130" s="2" t="str">
        <f t="shared" ref="F130:F193" si="22">VLOOKUP(A130,Spotify1,6,FALSE)</f>
        <v>Solo</v>
      </c>
      <c r="G130" s="2">
        <f t="shared" ref="G130:G193" si="23">VLOOKUP(A130,Spotify1,7,FALSE)</f>
        <v>2006</v>
      </c>
      <c r="H130" s="2">
        <f t="shared" ref="H130:H193" si="24">VLOOKUP(A130,Spotify1,8,FALSE)</f>
        <v>11196</v>
      </c>
      <c r="I130" s="2">
        <f t="shared" ref="I130:I193" si="25">VLOOKUP(A130,Spotify1,9,FALSE)</f>
        <v>10287.700000000001</v>
      </c>
      <c r="J130" s="2">
        <f t="shared" ref="J130:J193" si="26">VLOOKUP(A130,Spotify1,10,FALSE)</f>
        <v>910.9</v>
      </c>
    </row>
    <row r="131" spans="1:10" x14ac:dyDescent="0.45">
      <c r="A131" s="2" t="s">
        <v>440</v>
      </c>
      <c r="B131" s="2" t="str">
        <f t="shared" si="18"/>
        <v>Male</v>
      </c>
      <c r="C131" s="2" t="str">
        <f t="shared" si="19"/>
        <v>United States</v>
      </c>
      <c r="D131" s="2" t="str">
        <f t="shared" si="20"/>
        <v>Spanish</v>
      </c>
      <c r="E131" s="2" t="str">
        <f t="shared" si="21"/>
        <v>Reggaeton</v>
      </c>
      <c r="F131" s="2" t="str">
        <f t="shared" si="22"/>
        <v>Solo</v>
      </c>
      <c r="G131" s="2">
        <f t="shared" si="23"/>
        <v>2010</v>
      </c>
      <c r="H131" s="2">
        <f t="shared" si="24"/>
        <v>8801.6</v>
      </c>
      <c r="I131" s="2">
        <f t="shared" si="25"/>
        <v>1220.5999999999999</v>
      </c>
      <c r="J131" s="2">
        <f t="shared" si="26"/>
        <v>7581</v>
      </c>
    </row>
    <row r="132" spans="1:10" x14ac:dyDescent="0.45">
      <c r="A132" s="2" t="s">
        <v>203</v>
      </c>
      <c r="B132" s="2" t="str">
        <f t="shared" si="18"/>
        <v>Male</v>
      </c>
      <c r="C132" s="2" t="str">
        <f t="shared" si="19"/>
        <v>France</v>
      </c>
      <c r="D132" s="2" t="str">
        <f t="shared" si="20"/>
        <v>English</v>
      </c>
      <c r="E132" s="2" t="str">
        <f t="shared" si="21"/>
        <v>EDM</v>
      </c>
      <c r="F132" s="2" t="str">
        <f t="shared" si="22"/>
        <v>Solo</v>
      </c>
      <c r="G132" s="2">
        <f t="shared" si="23"/>
        <v>2013</v>
      </c>
      <c r="H132" s="2">
        <f t="shared" si="24"/>
        <v>15921.1</v>
      </c>
      <c r="I132" s="2">
        <f t="shared" si="25"/>
        <v>12030.1</v>
      </c>
      <c r="J132" s="2">
        <f t="shared" si="26"/>
        <v>3896.3</v>
      </c>
    </row>
    <row r="133" spans="1:10" x14ac:dyDescent="0.45">
      <c r="A133" s="2" t="s">
        <v>82</v>
      </c>
      <c r="B133" s="2" t="str">
        <f t="shared" si="18"/>
        <v>Female</v>
      </c>
      <c r="C133" s="2" t="str">
        <f t="shared" si="19"/>
        <v>United States</v>
      </c>
      <c r="D133" s="2" t="str">
        <f t="shared" si="20"/>
        <v>English</v>
      </c>
      <c r="E133" s="2" t="str">
        <f t="shared" si="21"/>
        <v>Pop</v>
      </c>
      <c r="F133" s="2" t="str">
        <f t="shared" si="22"/>
        <v>Solo</v>
      </c>
      <c r="G133" s="2">
        <f t="shared" si="23"/>
        <v>2012</v>
      </c>
      <c r="H133" s="2">
        <f t="shared" si="24"/>
        <v>31214.3</v>
      </c>
      <c r="I133" s="2">
        <f t="shared" si="25"/>
        <v>25574.2</v>
      </c>
      <c r="J133" s="2">
        <f t="shared" si="26"/>
        <v>5650.9</v>
      </c>
    </row>
    <row r="134" spans="1:10" x14ac:dyDescent="0.45">
      <c r="A134" s="2" t="s">
        <v>541</v>
      </c>
      <c r="B134" s="2" t="str">
        <f t="shared" si="18"/>
        <v>Male</v>
      </c>
      <c r="C134" s="2" t="str">
        <f t="shared" si="19"/>
        <v>United States</v>
      </c>
      <c r="D134" s="2" t="str">
        <f t="shared" si="20"/>
        <v>English</v>
      </c>
      <c r="E134" s="2" t="str">
        <f t="shared" si="21"/>
        <v>Alternative</v>
      </c>
      <c r="F134" s="2" t="str">
        <f t="shared" si="22"/>
        <v>Solo</v>
      </c>
      <c r="G134" s="2">
        <f t="shared" si="23"/>
        <v>2017</v>
      </c>
      <c r="H134" s="2">
        <f t="shared" si="24"/>
        <v>7485.1</v>
      </c>
      <c r="I134" s="2">
        <f t="shared" si="25"/>
        <v>6757.7</v>
      </c>
      <c r="J134" s="2">
        <f t="shared" si="26"/>
        <v>735.7</v>
      </c>
    </row>
    <row r="135" spans="1:10" x14ac:dyDescent="0.45">
      <c r="A135" s="2" t="s">
        <v>163</v>
      </c>
      <c r="B135" s="2" t="str">
        <f t="shared" si="18"/>
        <v>Male</v>
      </c>
      <c r="C135" s="2" t="str">
        <f t="shared" si="19"/>
        <v>United States</v>
      </c>
      <c r="D135" s="2" t="str">
        <f t="shared" si="20"/>
        <v>Spanish</v>
      </c>
      <c r="E135" s="2" t="str">
        <f t="shared" si="21"/>
        <v>Reggaeton</v>
      </c>
      <c r="F135" s="2" t="str">
        <f t="shared" si="22"/>
        <v>Solo</v>
      </c>
      <c r="G135" s="2">
        <f t="shared" si="23"/>
        <v>2003</v>
      </c>
      <c r="H135" s="2">
        <f t="shared" si="24"/>
        <v>18580.599999999999</v>
      </c>
      <c r="I135" s="2">
        <f t="shared" si="25"/>
        <v>14990.8</v>
      </c>
      <c r="J135" s="2">
        <f t="shared" si="26"/>
        <v>3601.2</v>
      </c>
    </row>
    <row r="136" spans="1:10" x14ac:dyDescent="0.45">
      <c r="A136" s="2" t="s">
        <v>144</v>
      </c>
      <c r="B136" s="2" t="str">
        <f t="shared" si="18"/>
        <v>Male</v>
      </c>
      <c r="C136" s="2" t="str">
        <f t="shared" si="19"/>
        <v>United States</v>
      </c>
      <c r="D136" s="2" t="str">
        <f t="shared" si="20"/>
        <v>English</v>
      </c>
      <c r="E136" s="2" t="str">
        <f t="shared" si="21"/>
        <v>Hip-Hop</v>
      </c>
      <c r="F136" s="2" t="str">
        <f t="shared" si="22"/>
        <v>Solo</v>
      </c>
      <c r="G136" s="2">
        <f t="shared" si="23"/>
        <v>2017</v>
      </c>
      <c r="H136" s="2">
        <f t="shared" si="24"/>
        <v>19830.5</v>
      </c>
      <c r="I136" s="2">
        <f t="shared" si="25"/>
        <v>12351.9</v>
      </c>
      <c r="J136" s="2">
        <f t="shared" si="26"/>
        <v>7494</v>
      </c>
    </row>
    <row r="137" spans="1:10" x14ac:dyDescent="0.45">
      <c r="A137" s="2" t="s">
        <v>268</v>
      </c>
      <c r="B137" s="2" t="str">
        <f t="shared" si="18"/>
        <v>Male</v>
      </c>
      <c r="C137" s="2" t="str">
        <f t="shared" si="19"/>
        <v>United States</v>
      </c>
      <c r="D137" s="2" t="str">
        <f t="shared" si="20"/>
        <v>English</v>
      </c>
      <c r="E137" s="2" t="str">
        <f t="shared" si="21"/>
        <v>Hip-Hop</v>
      </c>
      <c r="F137" s="2" t="str">
        <f t="shared" si="22"/>
        <v>Solo</v>
      </c>
      <c r="G137" s="2">
        <f t="shared" si="23"/>
        <v>1984</v>
      </c>
      <c r="H137" s="2">
        <f t="shared" si="24"/>
        <v>13320.3</v>
      </c>
      <c r="I137" s="2">
        <f t="shared" si="25"/>
        <v>8568.7000000000007</v>
      </c>
      <c r="J137" s="2">
        <f t="shared" si="26"/>
        <v>4756.2</v>
      </c>
    </row>
    <row r="138" spans="1:10" x14ac:dyDescent="0.45">
      <c r="A138" s="2" t="s">
        <v>0</v>
      </c>
      <c r="B138" s="2" t="str">
        <f t="shared" si="18"/>
        <v>Male</v>
      </c>
      <c r="C138" s="2" t="str">
        <f t="shared" si="19"/>
        <v>Canada</v>
      </c>
      <c r="D138" s="2" t="str">
        <f t="shared" si="20"/>
        <v>English</v>
      </c>
      <c r="E138" s="2" t="str">
        <f t="shared" si="21"/>
        <v>Hip-Hop</v>
      </c>
      <c r="F138" s="2" t="str">
        <f t="shared" si="22"/>
        <v>Solo</v>
      </c>
      <c r="G138" s="2">
        <f t="shared" si="23"/>
        <v>2006</v>
      </c>
      <c r="H138" s="2">
        <f t="shared" si="24"/>
        <v>137492.1</v>
      </c>
      <c r="I138" s="2">
        <f t="shared" si="25"/>
        <v>94851.1</v>
      </c>
      <c r="J138" s="2">
        <f t="shared" si="26"/>
        <v>42640.9</v>
      </c>
    </row>
    <row r="139" spans="1:10" x14ac:dyDescent="0.45">
      <c r="A139" s="2" t="s">
        <v>48</v>
      </c>
      <c r="B139" s="2" t="str">
        <f t="shared" si="18"/>
        <v>Female</v>
      </c>
      <c r="C139" s="2" t="str">
        <f t="shared" si="19"/>
        <v>United Kingdom</v>
      </c>
      <c r="D139" s="2" t="str">
        <f t="shared" si="20"/>
        <v>English</v>
      </c>
      <c r="E139" s="2" t="str">
        <f t="shared" si="21"/>
        <v>Pop</v>
      </c>
      <c r="F139" s="2" t="str">
        <f t="shared" si="22"/>
        <v>Solo</v>
      </c>
      <c r="G139" s="2">
        <f t="shared" si="23"/>
        <v>2015</v>
      </c>
      <c r="H139" s="2">
        <f t="shared" si="24"/>
        <v>41944.1</v>
      </c>
      <c r="I139" s="2">
        <f t="shared" si="25"/>
        <v>28269.7</v>
      </c>
      <c r="J139" s="2">
        <f t="shared" si="26"/>
        <v>13687.6</v>
      </c>
    </row>
    <row r="140" spans="1:10" x14ac:dyDescent="0.45">
      <c r="A140" s="2" t="s">
        <v>208</v>
      </c>
      <c r="B140" s="2" t="str">
        <f t="shared" si="18"/>
        <v>Male</v>
      </c>
      <c r="C140" s="2" t="str">
        <f t="shared" si="19"/>
        <v>Argentina</v>
      </c>
      <c r="D140" s="2" t="str">
        <f t="shared" si="20"/>
        <v>Spanish</v>
      </c>
      <c r="E140" s="2" t="str">
        <f t="shared" si="21"/>
        <v>Hip-Hop</v>
      </c>
      <c r="F140" s="2" t="str">
        <f t="shared" si="22"/>
        <v>Solo</v>
      </c>
      <c r="G140" s="2">
        <f t="shared" si="23"/>
        <v>2016</v>
      </c>
      <c r="H140" s="2">
        <f t="shared" si="24"/>
        <v>15684.7</v>
      </c>
      <c r="I140" s="2">
        <f t="shared" si="25"/>
        <v>7885.7</v>
      </c>
      <c r="J140" s="2">
        <f t="shared" si="26"/>
        <v>7799</v>
      </c>
    </row>
    <row r="141" spans="1:10" x14ac:dyDescent="0.45">
      <c r="A141" s="2" t="s">
        <v>499</v>
      </c>
      <c r="B141" s="2" t="str">
        <f t="shared" si="18"/>
        <v>Male</v>
      </c>
      <c r="C141" s="2" t="str">
        <f t="shared" si="19"/>
        <v>United States</v>
      </c>
      <c r="D141" s="2" t="str">
        <f t="shared" si="20"/>
        <v>English</v>
      </c>
      <c r="E141" s="2" t="str">
        <f t="shared" si="21"/>
        <v>Rock</v>
      </c>
      <c r="F141" s="2" t="str">
        <f t="shared" si="22"/>
        <v>Group</v>
      </c>
      <c r="G141" s="2">
        <f t="shared" si="23"/>
        <v>1972</v>
      </c>
      <c r="H141" s="2">
        <f t="shared" si="24"/>
        <v>7987.3</v>
      </c>
      <c r="I141" s="2">
        <f t="shared" si="25"/>
        <v>7990.9</v>
      </c>
      <c r="J141" s="2">
        <f t="shared" si="26"/>
        <v>0</v>
      </c>
    </row>
    <row r="142" spans="1:10" x14ac:dyDescent="0.45">
      <c r="A142" s="2" t="s">
        <v>19</v>
      </c>
      <c r="B142" s="2" t="str">
        <f t="shared" si="18"/>
        <v>Male</v>
      </c>
      <c r="C142" s="2" t="str">
        <f t="shared" si="19"/>
        <v>United Kingdom</v>
      </c>
      <c r="D142" s="2" t="str">
        <f t="shared" si="20"/>
        <v>English</v>
      </c>
      <c r="E142" s="2" t="str">
        <f t="shared" si="21"/>
        <v>Pop</v>
      </c>
      <c r="F142" s="2" t="str">
        <f t="shared" si="22"/>
        <v>Solo</v>
      </c>
      <c r="G142" s="2">
        <f t="shared" si="23"/>
        <v>2011</v>
      </c>
      <c r="H142" s="2">
        <f t="shared" si="24"/>
        <v>64656.9</v>
      </c>
      <c r="I142" s="2">
        <f t="shared" si="25"/>
        <v>57704</v>
      </c>
      <c r="J142" s="2">
        <f t="shared" si="26"/>
        <v>6967.8</v>
      </c>
    </row>
    <row r="143" spans="1:10" x14ac:dyDescent="0.45">
      <c r="A143" s="2" t="s">
        <v>426</v>
      </c>
      <c r="B143" s="2" t="str">
        <f t="shared" si="18"/>
        <v>Male</v>
      </c>
      <c r="C143" s="2" t="str">
        <f t="shared" si="19"/>
        <v>Dominican Republic</v>
      </c>
      <c r="D143" s="2" t="str">
        <f t="shared" si="20"/>
        <v>Spanish</v>
      </c>
      <c r="E143" s="2" t="str">
        <f t="shared" si="21"/>
        <v>Latin</v>
      </c>
      <c r="F143" s="2" t="str">
        <f t="shared" si="22"/>
        <v>Solo</v>
      </c>
      <c r="G143" s="2">
        <f t="shared" si="23"/>
        <v>2008</v>
      </c>
      <c r="H143" s="2">
        <f t="shared" si="24"/>
        <v>9056.5</v>
      </c>
      <c r="I143" s="2">
        <f t="shared" si="25"/>
        <v>5112.2</v>
      </c>
      <c r="J143" s="2">
        <f t="shared" si="26"/>
        <v>3944.3</v>
      </c>
    </row>
    <row r="144" spans="1:10" x14ac:dyDescent="0.45">
      <c r="A144" s="2" t="s">
        <v>301</v>
      </c>
      <c r="B144" s="2" t="str">
        <f t="shared" si="18"/>
        <v>Male</v>
      </c>
      <c r="C144" s="2" t="str">
        <f t="shared" si="19"/>
        <v>United States</v>
      </c>
      <c r="D144" s="2" t="str">
        <f t="shared" si="20"/>
        <v>Spanish</v>
      </c>
      <c r="E144" s="2" t="str">
        <f t="shared" si="21"/>
        <v>Hip-Hop</v>
      </c>
      <c r="F144" s="2" t="str">
        <f t="shared" si="22"/>
        <v>Solo</v>
      </c>
      <c r="G144" s="2">
        <f t="shared" si="23"/>
        <v>2017</v>
      </c>
      <c r="H144" s="2">
        <f t="shared" si="24"/>
        <v>12209.5</v>
      </c>
      <c r="I144" s="2">
        <f t="shared" si="25"/>
        <v>8937.9</v>
      </c>
      <c r="J144" s="2">
        <f t="shared" si="26"/>
        <v>3281.7</v>
      </c>
    </row>
    <row r="145" spans="1:10" x14ac:dyDescent="0.45">
      <c r="A145" s="2" t="s">
        <v>192</v>
      </c>
      <c r="B145" s="2" t="str">
        <f t="shared" si="18"/>
        <v>Female</v>
      </c>
      <c r="C145" s="2" t="str">
        <f t="shared" si="19"/>
        <v>United Kingdom</v>
      </c>
      <c r="D145" s="2" t="str">
        <f t="shared" si="20"/>
        <v>English</v>
      </c>
      <c r="E145" s="2" t="str">
        <f t="shared" si="21"/>
        <v>Pop</v>
      </c>
      <c r="F145" s="2" t="str">
        <f t="shared" si="22"/>
        <v>Solo</v>
      </c>
      <c r="G145" s="2">
        <f t="shared" si="23"/>
        <v>2009</v>
      </c>
      <c r="H145" s="2">
        <f t="shared" si="24"/>
        <v>16553.3</v>
      </c>
      <c r="I145" s="2">
        <f t="shared" si="25"/>
        <v>11362.1</v>
      </c>
      <c r="J145" s="2">
        <f t="shared" si="26"/>
        <v>5197.6000000000004</v>
      </c>
    </row>
    <row r="146" spans="1:10" x14ac:dyDescent="0.45">
      <c r="A146" s="2" t="s">
        <v>157</v>
      </c>
      <c r="B146" s="2" t="str">
        <f t="shared" si="18"/>
        <v>Male</v>
      </c>
      <c r="C146" s="2" t="str">
        <f t="shared" si="19"/>
        <v>United Kingdom</v>
      </c>
      <c r="D146" s="2" t="str">
        <f t="shared" si="20"/>
        <v>English</v>
      </c>
      <c r="E146" s="2" t="str">
        <f t="shared" si="21"/>
        <v>Rock</v>
      </c>
      <c r="F146" s="2" t="str">
        <f t="shared" si="22"/>
        <v>Solo</v>
      </c>
      <c r="G146" s="2">
        <f t="shared" si="23"/>
        <v>1969</v>
      </c>
      <c r="H146" s="2">
        <f t="shared" si="24"/>
        <v>19090.400000000001</v>
      </c>
      <c r="I146" s="2">
        <f t="shared" si="25"/>
        <v>17435.400000000001</v>
      </c>
      <c r="J146" s="2">
        <f t="shared" si="26"/>
        <v>1662.4</v>
      </c>
    </row>
    <row r="147" spans="1:10" x14ac:dyDescent="0.45">
      <c r="A147" s="2" t="s">
        <v>319</v>
      </c>
      <c r="B147" s="2" t="str">
        <f t="shared" si="18"/>
        <v>Male</v>
      </c>
      <c r="C147" s="2" t="str">
        <f t="shared" si="19"/>
        <v>United States</v>
      </c>
      <c r="D147" s="2" t="str">
        <f t="shared" si="20"/>
        <v>English</v>
      </c>
      <c r="E147" s="2" t="str">
        <f t="shared" si="21"/>
        <v>Rock</v>
      </c>
      <c r="F147" s="2" t="str">
        <f t="shared" si="22"/>
        <v>Solo</v>
      </c>
      <c r="G147" s="2">
        <f t="shared" si="23"/>
        <v>1954</v>
      </c>
      <c r="H147" s="2">
        <f t="shared" si="24"/>
        <v>11588.8</v>
      </c>
      <c r="I147" s="2">
        <f t="shared" si="25"/>
        <v>11545</v>
      </c>
      <c r="J147" s="2">
        <f t="shared" si="26"/>
        <v>47.3</v>
      </c>
    </row>
    <row r="148" spans="1:10" x14ac:dyDescent="0.45">
      <c r="A148" s="2" t="s">
        <v>21</v>
      </c>
      <c r="B148" s="2" t="str">
        <f t="shared" si="18"/>
        <v>Male</v>
      </c>
      <c r="C148" s="2" t="str">
        <f t="shared" si="19"/>
        <v>United States</v>
      </c>
      <c r="D148" s="2" t="str">
        <f t="shared" si="20"/>
        <v>English</v>
      </c>
      <c r="E148" s="2" t="str">
        <f t="shared" si="21"/>
        <v>Hip-Hop</v>
      </c>
      <c r="F148" s="2" t="str">
        <f t="shared" si="22"/>
        <v>Solo</v>
      </c>
      <c r="G148" s="2">
        <f t="shared" si="23"/>
        <v>1996</v>
      </c>
      <c r="H148" s="2">
        <f t="shared" si="24"/>
        <v>64549</v>
      </c>
      <c r="I148" s="2">
        <f t="shared" si="25"/>
        <v>54466.8</v>
      </c>
      <c r="J148" s="2">
        <f t="shared" si="26"/>
        <v>10100.700000000001</v>
      </c>
    </row>
    <row r="149" spans="1:10" x14ac:dyDescent="0.45">
      <c r="A149" s="2" t="s">
        <v>540</v>
      </c>
      <c r="B149" s="2" t="str">
        <f t="shared" si="18"/>
        <v>Male</v>
      </c>
      <c r="C149" s="2" t="str">
        <f t="shared" si="19"/>
        <v>South Korea</v>
      </c>
      <c r="D149" s="2" t="str">
        <f t="shared" si="20"/>
        <v>Korean</v>
      </c>
      <c r="E149" s="2" t="str">
        <f t="shared" si="21"/>
        <v>K-Pop</v>
      </c>
      <c r="F149" s="2" t="str">
        <f t="shared" si="22"/>
        <v>Group</v>
      </c>
      <c r="G149" s="2">
        <f t="shared" si="23"/>
        <v>2020</v>
      </c>
      <c r="H149" s="2">
        <f t="shared" si="24"/>
        <v>7486.2</v>
      </c>
      <c r="I149" s="2">
        <f t="shared" si="25"/>
        <v>7178.8</v>
      </c>
      <c r="J149" s="2">
        <f t="shared" si="26"/>
        <v>328.1</v>
      </c>
    </row>
    <row r="150" spans="1:10" x14ac:dyDescent="0.45">
      <c r="A150" s="2" t="s">
        <v>283</v>
      </c>
      <c r="B150" s="2" t="str">
        <f t="shared" si="18"/>
        <v>Male</v>
      </c>
      <c r="C150" s="2" t="str">
        <f t="shared" si="19"/>
        <v>Spain</v>
      </c>
      <c r="D150" s="2" t="str">
        <f t="shared" si="20"/>
        <v>Spanish</v>
      </c>
      <c r="E150" s="2" t="str">
        <f t="shared" si="21"/>
        <v>Latin</v>
      </c>
      <c r="F150" s="2" t="str">
        <f t="shared" si="22"/>
        <v>Solo</v>
      </c>
      <c r="G150" s="2">
        <f t="shared" si="23"/>
        <v>1995</v>
      </c>
      <c r="H150" s="2">
        <f t="shared" si="24"/>
        <v>12857.9</v>
      </c>
      <c r="I150" s="2">
        <f t="shared" si="25"/>
        <v>11010.3</v>
      </c>
      <c r="J150" s="2">
        <f t="shared" si="26"/>
        <v>1853</v>
      </c>
    </row>
    <row r="151" spans="1:10" x14ac:dyDescent="0.45">
      <c r="A151" s="2" t="s">
        <v>493</v>
      </c>
      <c r="B151" s="2" t="str">
        <f t="shared" si="18"/>
        <v>Male</v>
      </c>
      <c r="C151" s="2" t="str">
        <f t="shared" si="19"/>
        <v>United States</v>
      </c>
      <c r="D151" s="2" t="str">
        <f t="shared" si="20"/>
        <v>Spanish</v>
      </c>
      <c r="E151" s="2" t="str">
        <f t="shared" si="21"/>
        <v>Regional Mexican</v>
      </c>
      <c r="F151" s="2" t="str">
        <f t="shared" si="22"/>
        <v>Group</v>
      </c>
      <c r="G151" s="2">
        <f t="shared" si="23"/>
        <v>2020</v>
      </c>
      <c r="H151" s="2">
        <f t="shared" si="24"/>
        <v>8063.4</v>
      </c>
      <c r="I151" s="2">
        <f t="shared" si="25"/>
        <v>5540.4</v>
      </c>
      <c r="J151" s="2">
        <f t="shared" si="26"/>
        <v>2525</v>
      </c>
    </row>
    <row r="152" spans="1:10" x14ac:dyDescent="0.45">
      <c r="A152" s="2" t="s">
        <v>233</v>
      </c>
      <c r="B152" s="2" t="str">
        <f t="shared" si="18"/>
        <v>Male</v>
      </c>
      <c r="C152" s="2" t="str">
        <f t="shared" si="19"/>
        <v>United States</v>
      </c>
      <c r="D152" s="2" t="str">
        <f t="shared" si="20"/>
        <v>English</v>
      </c>
      <c r="E152" s="2" t="str">
        <f t="shared" si="21"/>
        <v>Rock</v>
      </c>
      <c r="F152" s="2" t="str">
        <f t="shared" si="22"/>
        <v>Group</v>
      </c>
      <c r="G152" s="2">
        <f t="shared" si="23"/>
        <v>2003</v>
      </c>
      <c r="H152" s="2">
        <f t="shared" si="24"/>
        <v>14507.7</v>
      </c>
      <c r="I152" s="2">
        <f t="shared" si="25"/>
        <v>10717.2</v>
      </c>
      <c r="J152" s="2">
        <f t="shared" si="26"/>
        <v>3796.5</v>
      </c>
    </row>
    <row r="153" spans="1:10" x14ac:dyDescent="0.45">
      <c r="A153" s="2" t="s">
        <v>87</v>
      </c>
      <c r="B153" s="2" t="str">
        <f t="shared" si="18"/>
        <v>Male</v>
      </c>
      <c r="C153" s="2" t="str">
        <f t="shared" si="19"/>
        <v>United States</v>
      </c>
      <c r="D153" s="2" t="str">
        <f t="shared" si="20"/>
        <v>Spanish</v>
      </c>
      <c r="E153" s="2" t="str">
        <f t="shared" si="21"/>
        <v>Reggaeton</v>
      </c>
      <c r="F153" s="2" t="str">
        <f t="shared" si="22"/>
        <v>Solo</v>
      </c>
      <c r="G153" s="2">
        <f t="shared" si="23"/>
        <v>2009</v>
      </c>
      <c r="H153" s="2">
        <f t="shared" si="24"/>
        <v>29775.3</v>
      </c>
      <c r="I153" s="2">
        <f t="shared" si="25"/>
        <v>8548.7000000000007</v>
      </c>
      <c r="J153" s="2">
        <f t="shared" si="26"/>
        <v>21237.200000000001</v>
      </c>
    </row>
    <row r="154" spans="1:10" x14ac:dyDescent="0.45">
      <c r="A154" s="2" t="s">
        <v>70</v>
      </c>
      <c r="B154" s="2" t="str">
        <f t="shared" si="18"/>
        <v>Male</v>
      </c>
      <c r="C154" s="2" t="str">
        <f t="shared" si="19"/>
        <v>Colombia</v>
      </c>
      <c r="D154" s="2" t="str">
        <f t="shared" si="20"/>
        <v>Spanish</v>
      </c>
      <c r="E154" s="2" t="str">
        <f t="shared" si="21"/>
        <v>Reggaeton</v>
      </c>
      <c r="F154" s="2" t="str">
        <f t="shared" si="22"/>
        <v>Solo</v>
      </c>
      <c r="G154" s="2">
        <f t="shared" si="23"/>
        <v>2015</v>
      </c>
      <c r="H154" s="2">
        <f t="shared" si="24"/>
        <v>34579.1</v>
      </c>
      <c r="I154" s="2">
        <f t="shared" si="25"/>
        <v>18725.599999999999</v>
      </c>
      <c r="J154" s="2">
        <f t="shared" si="26"/>
        <v>15774.1</v>
      </c>
    </row>
    <row r="155" spans="1:10" x14ac:dyDescent="0.45">
      <c r="A155" s="2" t="s">
        <v>478</v>
      </c>
      <c r="B155" s="2" t="str">
        <f t="shared" si="18"/>
        <v>Male</v>
      </c>
      <c r="C155" s="2" t="str">
        <f t="shared" si="19"/>
        <v>Germany</v>
      </c>
      <c r="D155" s="2" t="str">
        <f t="shared" si="20"/>
        <v>English</v>
      </c>
      <c r="E155" s="2" t="str">
        <f t="shared" si="21"/>
        <v>EDM</v>
      </c>
      <c r="F155" s="2" t="str">
        <f t="shared" si="22"/>
        <v>Solo</v>
      </c>
      <c r="G155" s="2">
        <f t="shared" si="23"/>
        <v>2013</v>
      </c>
      <c r="H155" s="2">
        <f t="shared" si="24"/>
        <v>8278.7000000000007</v>
      </c>
      <c r="I155" s="2">
        <f t="shared" si="25"/>
        <v>4898.7</v>
      </c>
      <c r="J155" s="2">
        <f t="shared" si="26"/>
        <v>3389.6</v>
      </c>
    </row>
    <row r="156" spans="1:10" x14ac:dyDescent="0.45">
      <c r="A156" s="2" t="s">
        <v>454</v>
      </c>
      <c r="B156" s="2" t="str">
        <f t="shared" si="18"/>
        <v>Male</v>
      </c>
      <c r="C156" s="2" t="str">
        <f t="shared" si="19"/>
        <v>United States</v>
      </c>
      <c r="D156" s="2" t="str">
        <f t="shared" si="20"/>
        <v>English</v>
      </c>
      <c r="E156" s="2" t="str">
        <f t="shared" si="21"/>
        <v>Hip-Hop</v>
      </c>
      <c r="F156" s="2" t="str">
        <f t="shared" si="22"/>
        <v>Solo</v>
      </c>
      <c r="G156" s="2">
        <f t="shared" si="23"/>
        <v>2014</v>
      </c>
      <c r="H156" s="2">
        <f t="shared" si="24"/>
        <v>8564.5</v>
      </c>
      <c r="I156" s="2">
        <f t="shared" si="25"/>
        <v>5566.1</v>
      </c>
      <c r="J156" s="2">
        <f t="shared" si="26"/>
        <v>3001.4</v>
      </c>
    </row>
    <row r="157" spans="1:10" x14ac:dyDescent="0.45">
      <c r="A157" s="2" t="s">
        <v>557</v>
      </c>
      <c r="B157" s="2" t="str">
        <f t="shared" si="18"/>
        <v>Male</v>
      </c>
      <c r="C157" s="2" t="str">
        <f t="shared" si="19"/>
        <v>United States</v>
      </c>
      <c r="D157" s="2" t="str">
        <f t="shared" si="20"/>
        <v>English</v>
      </c>
      <c r="E157" s="2" t="str">
        <f t="shared" si="21"/>
        <v>Metal</v>
      </c>
      <c r="F157" s="2" t="str">
        <f t="shared" si="22"/>
        <v>Group</v>
      </c>
      <c r="G157" s="2">
        <f t="shared" si="23"/>
        <v>2007</v>
      </c>
      <c r="H157" s="2">
        <f t="shared" si="24"/>
        <v>7326.6</v>
      </c>
      <c r="I157" s="2">
        <f t="shared" si="25"/>
        <v>1671.1</v>
      </c>
      <c r="J157" s="2">
        <f t="shared" si="26"/>
        <v>5664.1</v>
      </c>
    </row>
    <row r="158" spans="1:10" x14ac:dyDescent="0.45">
      <c r="A158" s="2" t="s">
        <v>189</v>
      </c>
      <c r="B158" s="2" t="str">
        <f t="shared" si="18"/>
        <v>Mixed</v>
      </c>
      <c r="C158" s="2" t="str">
        <f t="shared" si="19"/>
        <v>United Kingdom</v>
      </c>
      <c r="D158" s="2" t="str">
        <f t="shared" si="20"/>
        <v>English</v>
      </c>
      <c r="E158" s="2" t="str">
        <f t="shared" si="21"/>
        <v>Rock</v>
      </c>
      <c r="F158" s="2" t="str">
        <f t="shared" si="22"/>
        <v>Group</v>
      </c>
      <c r="G158" s="2">
        <f t="shared" si="23"/>
        <v>1967</v>
      </c>
      <c r="H158" s="2">
        <f t="shared" si="24"/>
        <v>16577.5</v>
      </c>
      <c r="I158" s="2">
        <f t="shared" si="25"/>
        <v>16577.5</v>
      </c>
      <c r="J158" s="2">
        <f t="shared" si="26"/>
        <v>0.4</v>
      </c>
    </row>
    <row r="159" spans="1:10" x14ac:dyDescent="0.45">
      <c r="A159" s="2" t="s">
        <v>195</v>
      </c>
      <c r="B159" s="2" t="str">
        <f t="shared" si="18"/>
        <v>Male</v>
      </c>
      <c r="C159" s="2" t="str">
        <f t="shared" si="19"/>
        <v>United States</v>
      </c>
      <c r="D159" s="2" t="str">
        <f t="shared" si="20"/>
        <v>English</v>
      </c>
      <c r="E159" s="2" t="str">
        <f t="shared" si="21"/>
        <v>Hip-Hop</v>
      </c>
      <c r="F159" s="2" t="str">
        <f t="shared" si="22"/>
        <v>Solo</v>
      </c>
      <c r="G159" s="2">
        <f t="shared" si="23"/>
        <v>2007</v>
      </c>
      <c r="H159" s="2">
        <f t="shared" si="24"/>
        <v>16366.1</v>
      </c>
      <c r="I159" s="2">
        <f t="shared" si="25"/>
        <v>14784.2</v>
      </c>
      <c r="J159" s="2">
        <f t="shared" si="26"/>
        <v>1492.7</v>
      </c>
    </row>
    <row r="160" spans="1:10" x14ac:dyDescent="0.45">
      <c r="A160" s="2" t="s">
        <v>411</v>
      </c>
      <c r="B160" s="2" t="str">
        <f t="shared" si="18"/>
        <v>Female</v>
      </c>
      <c r="C160" s="2" t="str">
        <f t="shared" si="19"/>
        <v>United Kingdom</v>
      </c>
      <c r="D160" s="2" t="str">
        <f t="shared" si="20"/>
        <v>English</v>
      </c>
      <c r="E160" s="2" t="str">
        <f t="shared" si="21"/>
        <v>Rock</v>
      </c>
      <c r="F160" s="2" t="str">
        <f t="shared" si="22"/>
        <v>Group</v>
      </c>
      <c r="G160" s="2">
        <f t="shared" si="23"/>
        <v>2009</v>
      </c>
      <c r="H160" s="2">
        <f t="shared" si="24"/>
        <v>9401</v>
      </c>
      <c r="I160" s="2">
        <f t="shared" si="25"/>
        <v>8691.5</v>
      </c>
      <c r="J160" s="2">
        <f t="shared" si="26"/>
        <v>712.9</v>
      </c>
    </row>
    <row r="161" spans="1:10" x14ac:dyDescent="0.45">
      <c r="A161" s="2" t="s">
        <v>396</v>
      </c>
      <c r="B161" s="2" t="str">
        <f t="shared" si="18"/>
        <v>Male</v>
      </c>
      <c r="C161" s="2" t="str">
        <f t="shared" si="19"/>
        <v>United States</v>
      </c>
      <c r="D161" s="2" t="str">
        <f t="shared" si="20"/>
        <v>English</v>
      </c>
      <c r="E161" s="2" t="str">
        <f t="shared" si="21"/>
        <v>Country</v>
      </c>
      <c r="F161" s="2" t="str">
        <f t="shared" si="22"/>
        <v>Group</v>
      </c>
      <c r="G161" s="2">
        <f t="shared" si="23"/>
        <v>2010</v>
      </c>
      <c r="H161" s="2">
        <f t="shared" si="24"/>
        <v>9869.2999999999993</v>
      </c>
      <c r="I161" s="2">
        <f t="shared" si="25"/>
        <v>6437</v>
      </c>
      <c r="J161" s="2">
        <f t="shared" si="26"/>
        <v>3432.3</v>
      </c>
    </row>
    <row r="162" spans="1:10" x14ac:dyDescent="0.45">
      <c r="A162" s="2" t="s">
        <v>361</v>
      </c>
      <c r="B162" s="2" t="str">
        <f t="shared" si="18"/>
        <v>Male</v>
      </c>
      <c r="C162" s="2" t="str">
        <f t="shared" si="19"/>
        <v>United States</v>
      </c>
      <c r="D162" s="2" t="str">
        <f t="shared" si="20"/>
        <v>English</v>
      </c>
      <c r="E162" s="2" t="str">
        <f t="shared" si="21"/>
        <v>Rock</v>
      </c>
      <c r="F162" s="2" t="str">
        <f t="shared" si="22"/>
        <v>Group</v>
      </c>
      <c r="G162" s="2">
        <f t="shared" si="23"/>
        <v>1994</v>
      </c>
      <c r="H162" s="2">
        <f t="shared" si="24"/>
        <v>10571.1</v>
      </c>
      <c r="I162" s="2">
        <f t="shared" si="25"/>
        <v>10570.2</v>
      </c>
      <c r="J162" s="2">
        <f t="shared" si="26"/>
        <v>4.5</v>
      </c>
    </row>
    <row r="163" spans="1:10" x14ac:dyDescent="0.45">
      <c r="A163" s="2" t="s">
        <v>113</v>
      </c>
      <c r="B163" s="2" t="str">
        <f t="shared" si="18"/>
        <v>Male</v>
      </c>
      <c r="C163" s="2" t="str">
        <f t="shared" si="19"/>
        <v>United States</v>
      </c>
      <c r="D163" s="2" t="str">
        <f t="shared" si="20"/>
        <v>English</v>
      </c>
      <c r="E163" s="2" t="str">
        <f t="shared" si="21"/>
        <v>R&amp;B</v>
      </c>
      <c r="F163" s="2" t="str">
        <f t="shared" si="22"/>
        <v>Solo</v>
      </c>
      <c r="G163" s="2">
        <f t="shared" si="23"/>
        <v>2011</v>
      </c>
      <c r="H163" s="2">
        <f t="shared" si="24"/>
        <v>24807.4</v>
      </c>
      <c r="I163" s="2">
        <f t="shared" si="25"/>
        <v>20425.400000000001</v>
      </c>
      <c r="J163" s="2">
        <f t="shared" si="26"/>
        <v>4391.5</v>
      </c>
    </row>
    <row r="164" spans="1:10" x14ac:dyDescent="0.45">
      <c r="A164" s="2" t="s">
        <v>297</v>
      </c>
      <c r="B164" s="2" t="str">
        <f t="shared" si="18"/>
        <v>Male</v>
      </c>
      <c r="C164" s="2" t="str">
        <f t="shared" si="19"/>
        <v>United States</v>
      </c>
      <c r="D164" s="2" t="str">
        <f t="shared" si="20"/>
        <v>English</v>
      </c>
      <c r="E164" s="2" t="str">
        <f t="shared" si="21"/>
        <v>Pop</v>
      </c>
      <c r="F164" s="2" t="str">
        <f t="shared" si="22"/>
        <v>Solo</v>
      </c>
      <c r="G164" s="2">
        <f t="shared" si="23"/>
        <v>1939</v>
      </c>
      <c r="H164" s="2">
        <f t="shared" si="24"/>
        <v>12421.7</v>
      </c>
      <c r="I164" s="2">
        <f t="shared" si="25"/>
        <v>11999.7</v>
      </c>
      <c r="J164" s="2">
        <f t="shared" si="26"/>
        <v>421.9</v>
      </c>
    </row>
    <row r="165" spans="1:10" x14ac:dyDescent="0.45">
      <c r="A165" s="2" t="s">
        <v>316</v>
      </c>
      <c r="B165" s="2" t="str">
        <f t="shared" si="18"/>
        <v>Male</v>
      </c>
      <c r="C165" s="2" t="str">
        <f t="shared" si="19"/>
        <v>Morocco</v>
      </c>
      <c r="D165" s="2" t="str">
        <f t="shared" si="20"/>
        <v>English</v>
      </c>
      <c r="E165" s="2" t="str">
        <f t="shared" si="21"/>
        <v>Hip-Hop</v>
      </c>
      <c r="F165" s="2" t="str">
        <f t="shared" si="22"/>
        <v>Solo</v>
      </c>
      <c r="G165" s="2">
        <f t="shared" si="23"/>
        <v>2002</v>
      </c>
      <c r="H165" s="2">
        <f t="shared" si="24"/>
        <v>11640.6</v>
      </c>
      <c r="I165" s="2">
        <f t="shared" si="25"/>
        <v>6067.8</v>
      </c>
      <c r="J165" s="2">
        <f t="shared" si="26"/>
        <v>5576.2</v>
      </c>
    </row>
    <row r="166" spans="1:10" x14ac:dyDescent="0.45">
      <c r="A166" s="2" t="s">
        <v>100</v>
      </c>
      <c r="B166" s="2" t="str">
        <f t="shared" si="18"/>
        <v>Male</v>
      </c>
      <c r="C166" s="2" t="str">
        <f t="shared" si="19"/>
        <v>United States</v>
      </c>
      <c r="D166" s="2" t="str">
        <f t="shared" si="20"/>
        <v>Spanish</v>
      </c>
      <c r="E166" s="2" t="str">
        <f t="shared" si="21"/>
        <v>Latin</v>
      </c>
      <c r="F166" s="2" t="str">
        <f t="shared" si="22"/>
        <v>Group</v>
      </c>
      <c r="G166" s="2">
        <f t="shared" si="23"/>
        <v>2018</v>
      </c>
      <c r="H166" s="2">
        <f t="shared" si="24"/>
        <v>27466.799999999999</v>
      </c>
      <c r="I166" s="2">
        <f t="shared" si="25"/>
        <v>19814.7</v>
      </c>
      <c r="J166" s="2">
        <f t="shared" si="26"/>
        <v>7652.1</v>
      </c>
    </row>
    <row r="167" spans="1:10" x14ac:dyDescent="0.45">
      <c r="A167" s="2" t="s">
        <v>30</v>
      </c>
      <c r="B167" s="2" t="str">
        <f t="shared" si="18"/>
        <v>Male</v>
      </c>
      <c r="C167" s="2" t="str">
        <f t="shared" si="19"/>
        <v>United States</v>
      </c>
      <c r="D167" s="2" t="str">
        <f t="shared" si="20"/>
        <v>English</v>
      </c>
      <c r="E167" s="2" t="str">
        <f t="shared" si="21"/>
        <v>Hip-Hop</v>
      </c>
      <c r="F167" s="2" t="str">
        <f t="shared" si="22"/>
        <v>Solo</v>
      </c>
      <c r="G167" s="2">
        <f t="shared" si="23"/>
        <v>2010</v>
      </c>
      <c r="H167" s="2">
        <f t="shared" si="24"/>
        <v>53951.5</v>
      </c>
      <c r="I167" s="2">
        <f t="shared" si="25"/>
        <v>27879</v>
      </c>
      <c r="J167" s="2">
        <f t="shared" si="26"/>
        <v>26072.5</v>
      </c>
    </row>
    <row r="168" spans="1:10" x14ac:dyDescent="0.45">
      <c r="A168" s="2" t="s">
        <v>425</v>
      </c>
      <c r="B168" s="2" t="str">
        <f t="shared" si="18"/>
        <v>Male</v>
      </c>
      <c r="C168" s="2" t="str">
        <f t="shared" si="19"/>
        <v>Mexico</v>
      </c>
      <c r="D168" s="2" t="str">
        <f t="shared" si="20"/>
        <v>Spanish</v>
      </c>
      <c r="E168" s="2" t="str">
        <f t="shared" si="21"/>
        <v>Regional Mexican</v>
      </c>
      <c r="F168" s="2" t="str">
        <f t="shared" si="22"/>
        <v>Solo</v>
      </c>
      <c r="G168" s="2">
        <f t="shared" si="23"/>
        <v>2015</v>
      </c>
      <c r="H168" s="2">
        <f t="shared" si="24"/>
        <v>9076.4</v>
      </c>
      <c r="I168" s="2">
        <f t="shared" si="25"/>
        <v>3472</v>
      </c>
      <c r="J168" s="2">
        <f t="shared" si="26"/>
        <v>5604.3</v>
      </c>
    </row>
    <row r="169" spans="1:10" x14ac:dyDescent="0.45">
      <c r="A169" s="2" t="s">
        <v>220</v>
      </c>
      <c r="B169" s="2" t="str">
        <f t="shared" si="18"/>
        <v>Male</v>
      </c>
      <c r="C169" s="2" t="str">
        <f t="shared" si="19"/>
        <v>United States</v>
      </c>
      <c r="D169" s="2" t="str">
        <f t="shared" si="20"/>
        <v>English</v>
      </c>
      <c r="E169" s="2" t="str">
        <f t="shared" si="21"/>
        <v>Hip-Hop</v>
      </c>
      <c r="F169" s="2" t="str">
        <f t="shared" si="22"/>
        <v>Solo</v>
      </c>
      <c r="G169" s="2">
        <f t="shared" si="23"/>
        <v>2006</v>
      </c>
      <c r="H169" s="2">
        <f t="shared" si="24"/>
        <v>15133</v>
      </c>
      <c r="I169" s="2">
        <f t="shared" si="25"/>
        <v>11606.5</v>
      </c>
      <c r="J169" s="2">
        <f t="shared" si="26"/>
        <v>3518.6</v>
      </c>
    </row>
    <row r="170" spans="1:10" x14ac:dyDescent="0.45">
      <c r="A170" s="2" t="s">
        <v>464</v>
      </c>
      <c r="B170" s="2" t="str">
        <f t="shared" si="18"/>
        <v>Male</v>
      </c>
      <c r="C170" s="2" t="str">
        <f t="shared" si="19"/>
        <v>DR Congo</v>
      </c>
      <c r="D170" s="2" t="str">
        <f t="shared" si="20"/>
        <v>French</v>
      </c>
      <c r="E170" s="2" t="str">
        <f t="shared" si="21"/>
        <v>Hip-Hop</v>
      </c>
      <c r="F170" s="2" t="str">
        <f t="shared" si="22"/>
        <v>Solo</v>
      </c>
      <c r="G170" s="2">
        <f t="shared" si="23"/>
        <v>2013</v>
      </c>
      <c r="H170" s="2">
        <f t="shared" si="24"/>
        <v>8439.5</v>
      </c>
      <c r="I170" s="2">
        <f t="shared" si="25"/>
        <v>6942.6</v>
      </c>
      <c r="J170" s="2">
        <f t="shared" si="26"/>
        <v>1509.4</v>
      </c>
    </row>
    <row r="171" spans="1:10" x14ac:dyDescent="0.45">
      <c r="A171" s="2" t="s">
        <v>415</v>
      </c>
      <c r="B171" s="2" t="str">
        <f t="shared" si="18"/>
        <v>Male</v>
      </c>
      <c r="C171" s="2" t="str">
        <f t="shared" si="19"/>
        <v>United States</v>
      </c>
      <c r="D171" s="2" t="str">
        <f t="shared" si="20"/>
        <v>English</v>
      </c>
      <c r="E171" s="2" t="str">
        <f t="shared" si="21"/>
        <v>R&amp;B</v>
      </c>
      <c r="F171" s="2" t="str">
        <f t="shared" si="22"/>
        <v>Solo</v>
      </c>
      <c r="G171" s="2">
        <f t="shared" si="23"/>
        <v>2018</v>
      </c>
      <c r="H171" s="2">
        <f t="shared" si="24"/>
        <v>9302.9</v>
      </c>
      <c r="I171" s="2">
        <f t="shared" si="25"/>
        <v>5809.3</v>
      </c>
      <c r="J171" s="2">
        <f t="shared" si="26"/>
        <v>3497.2</v>
      </c>
    </row>
    <row r="172" spans="1:10" x14ac:dyDescent="0.45">
      <c r="A172" s="2" t="s">
        <v>452</v>
      </c>
      <c r="B172" s="2" t="str">
        <f t="shared" si="18"/>
        <v>Male</v>
      </c>
      <c r="C172" s="2" t="str">
        <f t="shared" si="19"/>
        <v>United Kingdom</v>
      </c>
      <c r="D172" s="2" t="str">
        <f t="shared" si="20"/>
        <v>English</v>
      </c>
      <c r="E172" s="2" t="str">
        <f t="shared" si="21"/>
        <v>Alternative</v>
      </c>
      <c r="F172" s="2" t="str">
        <f t="shared" si="22"/>
        <v>Group</v>
      </c>
      <c r="G172" s="2">
        <f t="shared" si="23"/>
        <v>2012</v>
      </c>
      <c r="H172" s="2">
        <f t="shared" si="24"/>
        <v>8591.1</v>
      </c>
      <c r="I172" s="2">
        <f t="shared" si="25"/>
        <v>8578.7000000000007</v>
      </c>
      <c r="J172" s="2">
        <f t="shared" si="26"/>
        <v>15.4</v>
      </c>
    </row>
    <row r="173" spans="1:10" x14ac:dyDescent="0.45">
      <c r="A173" s="2" t="s">
        <v>246</v>
      </c>
      <c r="B173" s="2" t="str">
        <f t="shared" si="18"/>
        <v>Male</v>
      </c>
      <c r="C173" s="2" t="str">
        <f t="shared" si="19"/>
        <v>United Kingdom</v>
      </c>
      <c r="D173" s="2" t="str">
        <f t="shared" si="20"/>
        <v>English</v>
      </c>
      <c r="E173" s="2" t="str">
        <f t="shared" si="21"/>
        <v>Alternative</v>
      </c>
      <c r="F173" s="2" t="str">
        <f t="shared" si="22"/>
        <v>Group</v>
      </c>
      <c r="G173" s="2">
        <f t="shared" si="23"/>
        <v>2001</v>
      </c>
      <c r="H173" s="2">
        <f t="shared" si="24"/>
        <v>14104.4</v>
      </c>
      <c r="I173" s="2">
        <f t="shared" si="25"/>
        <v>14087.5</v>
      </c>
      <c r="J173" s="2">
        <f t="shared" si="26"/>
        <v>23.4</v>
      </c>
    </row>
    <row r="174" spans="1:10" x14ac:dyDescent="0.45">
      <c r="A174" s="2" t="s">
        <v>400</v>
      </c>
      <c r="B174" s="2" t="str">
        <f t="shared" si="18"/>
        <v>Female</v>
      </c>
      <c r="C174" s="2" t="str">
        <f t="shared" si="19"/>
        <v>United States</v>
      </c>
      <c r="D174" s="2" t="str">
        <f t="shared" si="20"/>
        <v>English</v>
      </c>
      <c r="E174" s="2" t="str">
        <f t="shared" si="21"/>
        <v>Pop</v>
      </c>
      <c r="F174" s="2" t="str">
        <f t="shared" si="22"/>
        <v>Solo</v>
      </c>
      <c r="G174" s="2">
        <f t="shared" si="23"/>
        <v>2019</v>
      </c>
      <c r="H174" s="2">
        <f t="shared" si="24"/>
        <v>9797.7999999999993</v>
      </c>
      <c r="I174" s="2">
        <f t="shared" si="25"/>
        <v>9279.7000000000007</v>
      </c>
      <c r="J174" s="2">
        <f t="shared" si="26"/>
        <v>543.29999999999995</v>
      </c>
    </row>
    <row r="175" spans="1:10" x14ac:dyDescent="0.45">
      <c r="A175" s="2" t="s">
        <v>215</v>
      </c>
      <c r="B175" s="2" t="str">
        <f t="shared" si="18"/>
        <v>Male</v>
      </c>
      <c r="C175" s="2" t="str">
        <f t="shared" si="19"/>
        <v>United States</v>
      </c>
      <c r="D175" s="2" t="str">
        <f t="shared" si="20"/>
        <v>English</v>
      </c>
      <c r="E175" s="2" t="str">
        <f t="shared" si="21"/>
        <v>Rock</v>
      </c>
      <c r="F175" s="2" t="str">
        <f t="shared" si="22"/>
        <v>Group</v>
      </c>
      <c r="G175" s="2">
        <f t="shared" si="23"/>
        <v>1990</v>
      </c>
      <c r="H175" s="2">
        <f t="shared" si="24"/>
        <v>15453.3</v>
      </c>
      <c r="I175" s="2">
        <f t="shared" si="25"/>
        <v>15342.6</v>
      </c>
      <c r="J175" s="2">
        <f t="shared" si="26"/>
        <v>118.3</v>
      </c>
    </row>
    <row r="176" spans="1:10" x14ac:dyDescent="0.45">
      <c r="A176" s="2" t="s">
        <v>302</v>
      </c>
      <c r="B176" s="2" t="str">
        <f t="shared" si="18"/>
        <v>Male</v>
      </c>
      <c r="C176" s="2" t="str">
        <f t="shared" si="19"/>
        <v>Mexico</v>
      </c>
      <c r="D176" s="2" t="str">
        <f t="shared" si="20"/>
        <v>Spanish</v>
      </c>
      <c r="E176" s="2" t="str">
        <f t="shared" si="21"/>
        <v>Regional Mexican</v>
      </c>
      <c r="F176" s="2" t="str">
        <f t="shared" si="22"/>
        <v>Group</v>
      </c>
      <c r="G176" s="2">
        <f t="shared" si="23"/>
        <v>2014</v>
      </c>
      <c r="H176" s="2">
        <f t="shared" si="24"/>
        <v>12151.3</v>
      </c>
      <c r="I176" s="2">
        <f t="shared" si="25"/>
        <v>8589.7999999999993</v>
      </c>
      <c r="J176" s="2">
        <f t="shared" si="26"/>
        <v>3569.6</v>
      </c>
    </row>
    <row r="177" spans="1:10" x14ac:dyDescent="0.45">
      <c r="A177" s="2" t="s">
        <v>248</v>
      </c>
      <c r="B177" s="2" t="str">
        <f t="shared" si="18"/>
        <v>Male</v>
      </c>
      <c r="C177" s="2" t="str">
        <f t="shared" si="19"/>
        <v>United States</v>
      </c>
      <c r="D177" s="2" t="str">
        <f t="shared" si="20"/>
        <v>Spanish</v>
      </c>
      <c r="E177" s="2" t="str">
        <f t="shared" si="21"/>
        <v>Regional Mexican</v>
      </c>
      <c r="F177" s="2" t="str">
        <f t="shared" si="22"/>
        <v>Group</v>
      </c>
      <c r="G177" s="2">
        <f t="shared" si="23"/>
        <v>2022</v>
      </c>
      <c r="H177" s="2">
        <f t="shared" si="24"/>
        <v>13999.3</v>
      </c>
      <c r="I177" s="2">
        <f t="shared" si="25"/>
        <v>8094.6</v>
      </c>
      <c r="J177" s="2">
        <f t="shared" si="26"/>
        <v>5914.6</v>
      </c>
    </row>
    <row r="178" spans="1:10" x14ac:dyDescent="0.45">
      <c r="A178" s="2" t="s">
        <v>569</v>
      </c>
      <c r="B178" s="2" t="str">
        <f t="shared" si="18"/>
        <v>Male</v>
      </c>
      <c r="C178" s="2" t="str">
        <f t="shared" si="19"/>
        <v>Mexico</v>
      </c>
      <c r="D178" s="2" t="str">
        <f t="shared" si="20"/>
        <v>Spanish</v>
      </c>
      <c r="E178" s="2" t="str">
        <f t="shared" si="21"/>
        <v>Regional Mexican</v>
      </c>
      <c r="F178" s="2" t="str">
        <f t="shared" si="22"/>
        <v>Group</v>
      </c>
      <c r="G178" s="2">
        <f t="shared" si="23"/>
        <v>2015</v>
      </c>
      <c r="H178" s="2">
        <f t="shared" si="24"/>
        <v>7123.4</v>
      </c>
      <c r="I178" s="2">
        <f t="shared" si="25"/>
        <v>5595.9</v>
      </c>
      <c r="J178" s="2">
        <f t="shared" si="26"/>
        <v>1527.5</v>
      </c>
    </row>
    <row r="179" spans="1:10" x14ac:dyDescent="0.45">
      <c r="A179" s="2" t="s">
        <v>561</v>
      </c>
      <c r="B179" s="2" t="str">
        <f t="shared" si="18"/>
        <v>Male</v>
      </c>
      <c r="C179" s="2" t="str">
        <f t="shared" si="19"/>
        <v>Brazil</v>
      </c>
      <c r="D179" s="2" t="str">
        <f t="shared" si="20"/>
        <v>Portuguese</v>
      </c>
      <c r="E179" s="2" t="str">
        <f t="shared" si="21"/>
        <v>Latin</v>
      </c>
      <c r="F179" s="2" t="str">
        <f t="shared" si="22"/>
        <v>Group</v>
      </c>
      <c r="G179" s="2">
        <f t="shared" si="23"/>
        <v>2016</v>
      </c>
      <c r="H179" s="2">
        <f t="shared" si="24"/>
        <v>7277.6</v>
      </c>
      <c r="I179" s="2">
        <f t="shared" si="25"/>
        <v>6836.9</v>
      </c>
      <c r="J179" s="2">
        <f t="shared" si="26"/>
        <v>455.9</v>
      </c>
    </row>
    <row r="180" spans="1:10" x14ac:dyDescent="0.45">
      <c r="A180" s="2" t="s">
        <v>227</v>
      </c>
      <c r="B180" s="2" t="str">
        <f t="shared" si="18"/>
        <v>Male</v>
      </c>
      <c r="C180" s="2" t="str">
        <f t="shared" si="19"/>
        <v>United States</v>
      </c>
      <c r="D180" s="2" t="str">
        <f t="shared" si="20"/>
        <v>English</v>
      </c>
      <c r="E180" s="2" t="str">
        <f t="shared" si="21"/>
        <v>Hip-Hop</v>
      </c>
      <c r="F180" s="2" t="str">
        <f t="shared" si="22"/>
        <v>Solo</v>
      </c>
      <c r="G180" s="2">
        <f t="shared" si="23"/>
        <v>2005</v>
      </c>
      <c r="H180" s="2">
        <f t="shared" si="24"/>
        <v>14880.2</v>
      </c>
      <c r="I180" s="2">
        <f t="shared" si="25"/>
        <v>7106.1</v>
      </c>
      <c r="J180" s="2">
        <f t="shared" si="26"/>
        <v>7779.1</v>
      </c>
    </row>
    <row r="181" spans="1:10" x14ac:dyDescent="0.45">
      <c r="A181" s="2" t="s">
        <v>98</v>
      </c>
      <c r="B181" s="2" t="str">
        <f t="shared" si="18"/>
        <v>Male</v>
      </c>
      <c r="C181" s="2" t="str">
        <f t="shared" si="19"/>
        <v>United States</v>
      </c>
      <c r="D181" s="2" t="str">
        <f t="shared" si="20"/>
        <v>English</v>
      </c>
      <c r="E181" s="2" t="str">
        <f t="shared" si="21"/>
        <v>Hip-Hop</v>
      </c>
      <c r="F181" s="2" t="str">
        <f t="shared" si="22"/>
        <v>Solo</v>
      </c>
      <c r="G181" s="2">
        <f t="shared" si="23"/>
        <v>2013</v>
      </c>
      <c r="H181" s="2">
        <f t="shared" si="24"/>
        <v>28195.8</v>
      </c>
      <c r="I181" s="2">
        <f t="shared" si="25"/>
        <v>12491.3</v>
      </c>
      <c r="J181" s="2">
        <f t="shared" si="26"/>
        <v>15715.6</v>
      </c>
    </row>
    <row r="182" spans="1:10" x14ac:dyDescent="0.45">
      <c r="A182" s="2" t="s">
        <v>256</v>
      </c>
      <c r="B182" s="2" t="str">
        <f t="shared" si="18"/>
        <v>Male</v>
      </c>
      <c r="C182" s="2" t="str">
        <f t="shared" si="19"/>
        <v>United States</v>
      </c>
      <c r="D182" s="2" t="str">
        <f t="shared" si="20"/>
        <v>English</v>
      </c>
      <c r="E182" s="2" t="str">
        <f t="shared" si="21"/>
        <v>Rock</v>
      </c>
      <c r="F182" s="2" t="str">
        <f t="shared" si="22"/>
        <v>Group</v>
      </c>
      <c r="G182" s="2">
        <f t="shared" si="23"/>
        <v>1985</v>
      </c>
      <c r="H182" s="2">
        <f t="shared" si="24"/>
        <v>13683</v>
      </c>
      <c r="I182" s="2">
        <f t="shared" si="25"/>
        <v>13689.3</v>
      </c>
      <c r="J182" s="2">
        <f t="shared" si="26"/>
        <v>0</v>
      </c>
    </row>
    <row r="183" spans="1:10" x14ac:dyDescent="0.45">
      <c r="A183" s="2" t="s">
        <v>300</v>
      </c>
      <c r="B183" s="2" t="str">
        <f t="shared" si="18"/>
        <v>Male</v>
      </c>
      <c r="C183" s="2" t="str">
        <f t="shared" si="19"/>
        <v>Brazil</v>
      </c>
      <c r="D183" s="2" t="str">
        <f t="shared" si="20"/>
        <v>Portuguese</v>
      </c>
      <c r="E183" s="2" t="str">
        <f t="shared" si="21"/>
        <v>Sertanjeo</v>
      </c>
      <c r="F183" s="2" t="str">
        <f t="shared" si="22"/>
        <v>Solo</v>
      </c>
      <c r="G183" s="2">
        <f t="shared" si="23"/>
        <v>2009</v>
      </c>
      <c r="H183" s="2">
        <f t="shared" si="24"/>
        <v>12324.9</v>
      </c>
      <c r="I183" s="2">
        <f t="shared" si="25"/>
        <v>10393.6</v>
      </c>
      <c r="J183" s="2">
        <f t="shared" si="26"/>
        <v>1924.7</v>
      </c>
    </row>
    <row r="184" spans="1:10" x14ac:dyDescent="0.45">
      <c r="A184" s="2" t="s">
        <v>531</v>
      </c>
      <c r="B184" s="2" t="str">
        <f t="shared" si="18"/>
        <v>Female</v>
      </c>
      <c r="C184" s="2" t="str">
        <f t="shared" si="19"/>
        <v>United States</v>
      </c>
      <c r="D184" s="2" t="str">
        <f t="shared" si="20"/>
        <v>English</v>
      </c>
      <c r="E184" s="2" t="str">
        <f t="shared" si="21"/>
        <v>R&amp;B</v>
      </c>
      <c r="F184" s="2" t="str">
        <f t="shared" si="22"/>
        <v>Solo</v>
      </c>
      <c r="G184" s="2">
        <f t="shared" si="23"/>
        <v>2016</v>
      </c>
      <c r="H184" s="2">
        <f t="shared" si="24"/>
        <v>7608.2</v>
      </c>
      <c r="I184" s="2">
        <f t="shared" si="25"/>
        <v>3801.5</v>
      </c>
      <c r="J184" s="2">
        <f t="shared" si="26"/>
        <v>3806.7</v>
      </c>
    </row>
    <row r="185" spans="1:10" x14ac:dyDescent="0.45">
      <c r="A185" s="2" t="s">
        <v>109</v>
      </c>
      <c r="B185" s="2" t="str">
        <f t="shared" si="18"/>
        <v>Female</v>
      </c>
      <c r="C185" s="2" t="str">
        <f t="shared" si="19"/>
        <v>United States</v>
      </c>
      <c r="D185" s="2" t="str">
        <f t="shared" si="20"/>
        <v>English</v>
      </c>
      <c r="E185" s="2" t="str">
        <f t="shared" si="21"/>
        <v>Pop</v>
      </c>
      <c r="F185" s="2" t="str">
        <f t="shared" si="22"/>
        <v>Solo</v>
      </c>
      <c r="G185" s="2">
        <f t="shared" si="23"/>
        <v>2014</v>
      </c>
      <c r="H185" s="2">
        <f t="shared" si="24"/>
        <v>25687.5</v>
      </c>
      <c r="I185" s="2">
        <f t="shared" si="25"/>
        <v>13902.2</v>
      </c>
      <c r="J185" s="2">
        <f t="shared" si="26"/>
        <v>11792.3</v>
      </c>
    </row>
    <row r="186" spans="1:10" x14ac:dyDescent="0.45">
      <c r="A186" s="2" t="s">
        <v>434</v>
      </c>
      <c r="B186" s="2" t="str">
        <f t="shared" si="18"/>
        <v>Male</v>
      </c>
      <c r="C186" s="2" t="str">
        <f t="shared" si="19"/>
        <v>Germany</v>
      </c>
      <c r="D186" s="2" t="str">
        <f t="shared" si="20"/>
        <v>German</v>
      </c>
      <c r="E186" s="2" t="str">
        <f t="shared" si="21"/>
        <v>Soundtrack</v>
      </c>
      <c r="F186" s="2" t="str">
        <f t="shared" si="22"/>
        <v>Solo</v>
      </c>
      <c r="G186" s="2">
        <f t="shared" si="23"/>
        <v>1977</v>
      </c>
      <c r="H186" s="2">
        <f t="shared" si="24"/>
        <v>8906.9</v>
      </c>
      <c r="I186" s="2">
        <f t="shared" si="25"/>
        <v>8155.5</v>
      </c>
      <c r="J186" s="2">
        <f t="shared" si="26"/>
        <v>751.4</v>
      </c>
    </row>
    <row r="187" spans="1:10" x14ac:dyDescent="0.45">
      <c r="A187" s="2" t="s">
        <v>89</v>
      </c>
      <c r="B187" s="2" t="str">
        <f t="shared" si="18"/>
        <v>Male</v>
      </c>
      <c r="C187" s="2" t="str">
        <f t="shared" si="19"/>
        <v>United Kingdom</v>
      </c>
      <c r="D187" s="2" t="str">
        <f t="shared" si="20"/>
        <v>English</v>
      </c>
      <c r="E187" s="2" t="str">
        <f t="shared" si="21"/>
        <v>Pop</v>
      </c>
      <c r="F187" s="2" t="str">
        <f t="shared" si="22"/>
        <v>Solo</v>
      </c>
      <c r="G187" s="2">
        <f t="shared" si="23"/>
        <v>2010</v>
      </c>
      <c r="H187" s="2">
        <f t="shared" si="24"/>
        <v>29449</v>
      </c>
      <c r="I187" s="2">
        <f t="shared" si="25"/>
        <v>29462.799999999999</v>
      </c>
      <c r="J187" s="2">
        <f t="shared" si="26"/>
        <v>0</v>
      </c>
    </row>
    <row r="188" spans="1:10" x14ac:dyDescent="0.45">
      <c r="A188" s="2" t="s">
        <v>152</v>
      </c>
      <c r="B188" s="2" t="str">
        <f t="shared" si="18"/>
        <v>Male</v>
      </c>
      <c r="C188" s="2" t="str">
        <f t="shared" si="19"/>
        <v>Brazil</v>
      </c>
      <c r="D188" s="2" t="str">
        <f t="shared" si="20"/>
        <v>Portuguese</v>
      </c>
      <c r="E188" s="2" t="str">
        <f t="shared" si="21"/>
        <v>Sertanjeo</v>
      </c>
      <c r="F188" s="2" t="str">
        <f t="shared" si="22"/>
        <v>Group</v>
      </c>
      <c r="G188" s="2">
        <f t="shared" si="23"/>
        <v>2008</v>
      </c>
      <c r="H188" s="2">
        <f t="shared" si="24"/>
        <v>19231.7</v>
      </c>
      <c r="I188" s="2">
        <f t="shared" si="25"/>
        <v>15881.4</v>
      </c>
      <c r="J188" s="2">
        <f t="shared" si="26"/>
        <v>3360.5</v>
      </c>
    </row>
    <row r="189" spans="1:10" x14ac:dyDescent="0.45">
      <c r="A189" s="2" t="s">
        <v>190</v>
      </c>
      <c r="B189" s="2" t="str">
        <f t="shared" si="18"/>
        <v>Male</v>
      </c>
      <c r="C189" s="2" t="str">
        <f t="shared" si="19"/>
        <v>Ireland</v>
      </c>
      <c r="D189" s="2" t="str">
        <f t="shared" si="20"/>
        <v>English</v>
      </c>
      <c r="E189" s="2" t="str">
        <f t="shared" si="21"/>
        <v>Rock</v>
      </c>
      <c r="F189" s="2" t="str">
        <f t="shared" si="22"/>
        <v>Solo</v>
      </c>
      <c r="G189" s="2">
        <f t="shared" si="23"/>
        <v>2013</v>
      </c>
      <c r="H189" s="2">
        <f t="shared" si="24"/>
        <v>16556.5</v>
      </c>
      <c r="I189" s="2">
        <f t="shared" si="25"/>
        <v>15920.4</v>
      </c>
      <c r="J189" s="2">
        <f t="shared" si="26"/>
        <v>641.79999999999995</v>
      </c>
    </row>
    <row r="190" spans="1:10" x14ac:dyDescent="0.45">
      <c r="A190" s="2" t="s">
        <v>53</v>
      </c>
      <c r="B190" s="2" t="str">
        <f t="shared" si="18"/>
        <v>Male</v>
      </c>
      <c r="C190" s="2" t="str">
        <f t="shared" si="19"/>
        <v>United States</v>
      </c>
      <c r="D190" s="2" t="str">
        <f t="shared" si="20"/>
        <v>English</v>
      </c>
      <c r="E190" s="2" t="str">
        <f t="shared" si="21"/>
        <v>Rock</v>
      </c>
      <c r="F190" s="2" t="str">
        <f t="shared" si="22"/>
        <v>Group</v>
      </c>
      <c r="G190" s="2">
        <f t="shared" si="23"/>
        <v>2012</v>
      </c>
      <c r="H190" s="2">
        <f t="shared" si="24"/>
        <v>40279.5</v>
      </c>
      <c r="I190" s="2">
        <f t="shared" si="25"/>
        <v>38006.699999999997</v>
      </c>
      <c r="J190" s="2">
        <f t="shared" si="26"/>
        <v>2283.1999999999998</v>
      </c>
    </row>
    <row r="191" spans="1:10" x14ac:dyDescent="0.45">
      <c r="A191" s="2" t="s">
        <v>340</v>
      </c>
      <c r="B191" s="2" t="str">
        <f t="shared" si="18"/>
        <v>Male</v>
      </c>
      <c r="C191" s="2" t="str">
        <f t="shared" si="19"/>
        <v>India</v>
      </c>
      <c r="D191" s="2" t="str">
        <f t="shared" si="20"/>
        <v>Hindi</v>
      </c>
      <c r="E191" s="2" t="str">
        <f t="shared" si="21"/>
        <v>Filmi</v>
      </c>
      <c r="F191" s="2" t="str">
        <f t="shared" si="22"/>
        <v>Solo</v>
      </c>
      <c r="G191" s="2">
        <f t="shared" si="23"/>
        <v>2004</v>
      </c>
      <c r="H191" s="2">
        <f t="shared" si="24"/>
        <v>11014.9</v>
      </c>
      <c r="I191" s="2">
        <f t="shared" si="25"/>
        <v>5793.9</v>
      </c>
      <c r="J191" s="2">
        <f t="shared" si="26"/>
        <v>5236.3</v>
      </c>
    </row>
    <row r="192" spans="1:10" x14ac:dyDescent="0.45">
      <c r="A192" s="2" t="s">
        <v>28</v>
      </c>
      <c r="B192" s="2" t="str">
        <f t="shared" si="18"/>
        <v>Male</v>
      </c>
      <c r="C192" s="2" t="str">
        <f t="shared" si="19"/>
        <v>Colombia</v>
      </c>
      <c r="D192" s="2" t="str">
        <f t="shared" si="20"/>
        <v>Spanish</v>
      </c>
      <c r="E192" s="2" t="str">
        <f t="shared" si="21"/>
        <v>Reggaeton</v>
      </c>
      <c r="F192" s="2" t="str">
        <f t="shared" si="22"/>
        <v>Solo</v>
      </c>
      <c r="G192" s="2">
        <f t="shared" si="23"/>
        <v>2004</v>
      </c>
      <c r="H192" s="2">
        <f t="shared" si="24"/>
        <v>54649.2</v>
      </c>
      <c r="I192" s="2">
        <f t="shared" si="25"/>
        <v>25333.3</v>
      </c>
      <c r="J192" s="2">
        <f t="shared" si="26"/>
        <v>29334</v>
      </c>
    </row>
    <row r="193" spans="1:10" x14ac:dyDescent="0.45">
      <c r="A193" s="2" t="s">
        <v>78</v>
      </c>
      <c r="B193" s="2" t="str">
        <f t="shared" si="18"/>
        <v>Male</v>
      </c>
      <c r="C193" s="2" t="str">
        <f t="shared" si="19"/>
        <v>United States</v>
      </c>
      <c r="D193" s="2" t="str">
        <f t="shared" si="20"/>
        <v>English</v>
      </c>
      <c r="E193" s="2" t="str">
        <f t="shared" si="21"/>
        <v>Hip-Hop</v>
      </c>
      <c r="F193" s="2" t="str">
        <f t="shared" si="22"/>
        <v>Solo</v>
      </c>
      <c r="G193" s="2">
        <f t="shared" si="23"/>
        <v>2007</v>
      </c>
      <c r="H193" s="2">
        <f t="shared" si="24"/>
        <v>32200.9</v>
      </c>
      <c r="I193" s="2">
        <f t="shared" si="25"/>
        <v>24334.7</v>
      </c>
      <c r="J193" s="2">
        <f t="shared" si="26"/>
        <v>7876.1</v>
      </c>
    </row>
    <row r="194" spans="1:10" x14ac:dyDescent="0.45">
      <c r="A194" s="2" t="s">
        <v>288</v>
      </c>
      <c r="B194" s="2" t="str">
        <f t="shared" ref="B194:B257" si="27">VLOOKUP(A194,Spotify1,2,FALSE)</f>
        <v>Male</v>
      </c>
      <c r="C194" s="2" t="str">
        <f t="shared" ref="C194:C257" si="28">VLOOKUP(A194,Spotify1,3,FALSE)</f>
        <v>United States</v>
      </c>
      <c r="D194" s="2" t="str">
        <f t="shared" ref="D194:D257" si="29">VLOOKUP(A194,Spotify1,4,FALSE)</f>
        <v>English</v>
      </c>
      <c r="E194" s="2" t="str">
        <f t="shared" ref="E194:E257" si="30">VLOOKUP(A194,Spotify1,5,FALSE)</f>
        <v>Hip-Hop</v>
      </c>
      <c r="F194" s="2" t="str">
        <f t="shared" ref="F194:F257" si="31">VLOOKUP(A194,Spotify1,6,FALSE)</f>
        <v>Solo</v>
      </c>
      <c r="G194" s="2">
        <f t="shared" ref="G194:G257" si="32">VLOOKUP(A194,Spotify1,7,FALSE)</f>
        <v>2015</v>
      </c>
      <c r="H194" s="2">
        <f t="shared" ref="H194:H257" si="33">VLOOKUP(A194,Spotify1,8,FALSE)</f>
        <v>12751</v>
      </c>
      <c r="I194" s="2">
        <f t="shared" ref="I194:I257" si="34">VLOOKUP(A194,Spotify1,9,FALSE)</f>
        <v>8481.6</v>
      </c>
      <c r="J194" s="2">
        <f t="shared" ref="J194:J257" si="35">VLOOKUP(A194,Spotify1,10,FALSE)</f>
        <v>4272.5</v>
      </c>
    </row>
    <row r="195" spans="1:10" x14ac:dyDescent="0.45">
      <c r="A195" s="2" t="s">
        <v>456</v>
      </c>
      <c r="B195" s="2" t="str">
        <f t="shared" si="27"/>
        <v>Male</v>
      </c>
      <c r="C195" s="2" t="str">
        <f t="shared" si="28"/>
        <v>United States</v>
      </c>
      <c r="D195" s="2" t="str">
        <f t="shared" si="29"/>
        <v>English</v>
      </c>
      <c r="E195" s="2" t="str">
        <f t="shared" si="30"/>
        <v>Rock</v>
      </c>
      <c r="F195" s="2" t="str">
        <f t="shared" si="31"/>
        <v>Solo</v>
      </c>
      <c r="G195" s="2">
        <f t="shared" si="32"/>
        <v>2001</v>
      </c>
      <c r="H195" s="2">
        <f t="shared" si="33"/>
        <v>8551.4</v>
      </c>
      <c r="I195" s="2">
        <f t="shared" si="34"/>
        <v>8199.2999999999993</v>
      </c>
      <c r="J195" s="2">
        <f t="shared" si="35"/>
        <v>355</v>
      </c>
    </row>
    <row r="196" spans="1:10" x14ac:dyDescent="0.45">
      <c r="A196" s="2" t="s">
        <v>200</v>
      </c>
      <c r="B196" s="2" t="str">
        <f t="shared" si="27"/>
        <v>Male</v>
      </c>
      <c r="C196" s="2" t="str">
        <f t="shared" si="28"/>
        <v>United Kingdom</v>
      </c>
      <c r="D196" s="2" t="str">
        <f t="shared" si="29"/>
        <v>English</v>
      </c>
      <c r="E196" s="2" t="str">
        <f t="shared" si="30"/>
        <v>Pop</v>
      </c>
      <c r="F196" s="2" t="str">
        <f t="shared" si="31"/>
        <v>Solo</v>
      </c>
      <c r="G196" s="2">
        <f t="shared" si="32"/>
        <v>2012</v>
      </c>
      <c r="H196" s="2">
        <f t="shared" si="33"/>
        <v>16111.6</v>
      </c>
      <c r="I196" s="2">
        <f t="shared" si="34"/>
        <v>14817.7</v>
      </c>
      <c r="J196" s="2">
        <f t="shared" si="35"/>
        <v>1297.5999999999999</v>
      </c>
    </row>
    <row r="197" spans="1:10" x14ac:dyDescent="0.45">
      <c r="A197" s="2" t="s">
        <v>546</v>
      </c>
      <c r="B197" s="2" t="str">
        <f t="shared" si="27"/>
        <v>Male</v>
      </c>
      <c r="C197" s="2" t="str">
        <f t="shared" si="28"/>
        <v>United States</v>
      </c>
      <c r="D197" s="2" t="str">
        <f t="shared" si="29"/>
        <v>English</v>
      </c>
      <c r="E197" s="2" t="str">
        <f t="shared" si="30"/>
        <v>Country</v>
      </c>
      <c r="F197" s="2" t="str">
        <f t="shared" si="31"/>
        <v>Solo</v>
      </c>
      <c r="G197" s="2">
        <f t="shared" si="32"/>
        <v>2005</v>
      </c>
      <c r="H197" s="2">
        <f t="shared" si="33"/>
        <v>7423.5</v>
      </c>
      <c r="I197" s="2">
        <f t="shared" si="34"/>
        <v>7117.2</v>
      </c>
      <c r="J197" s="2">
        <f t="shared" si="35"/>
        <v>319.89999999999998</v>
      </c>
    </row>
    <row r="198" spans="1:10" x14ac:dyDescent="0.45">
      <c r="A198" s="2" t="s">
        <v>175</v>
      </c>
      <c r="B198" s="2" t="str">
        <f t="shared" si="27"/>
        <v>Male</v>
      </c>
      <c r="C198" s="2" t="str">
        <f t="shared" si="28"/>
        <v>United States</v>
      </c>
      <c r="D198" s="2" t="str">
        <f t="shared" si="29"/>
        <v>English</v>
      </c>
      <c r="E198" s="2" t="str">
        <f t="shared" si="30"/>
        <v>Pop</v>
      </c>
      <c r="F198" s="2" t="str">
        <f t="shared" si="31"/>
        <v>Solo</v>
      </c>
      <c r="G198" s="2">
        <f t="shared" si="32"/>
        <v>2009</v>
      </c>
      <c r="H198" s="2">
        <f t="shared" si="33"/>
        <v>17720.2</v>
      </c>
      <c r="I198" s="2">
        <f t="shared" si="34"/>
        <v>13610.1</v>
      </c>
      <c r="J198" s="2">
        <f t="shared" si="35"/>
        <v>4116.2</v>
      </c>
    </row>
    <row r="199" spans="1:10" x14ac:dyDescent="0.45">
      <c r="A199" s="2" t="s">
        <v>575</v>
      </c>
      <c r="B199" s="2" t="str">
        <f t="shared" si="27"/>
        <v>Male</v>
      </c>
      <c r="C199" s="2" t="str">
        <f t="shared" si="28"/>
        <v>United States</v>
      </c>
      <c r="D199" s="2" t="str">
        <f t="shared" si="29"/>
        <v>English</v>
      </c>
      <c r="E199" s="2" t="str">
        <f t="shared" si="30"/>
        <v>Pop</v>
      </c>
      <c r="F199" s="2" t="str">
        <f t="shared" si="31"/>
        <v>Solo</v>
      </c>
      <c r="G199" s="2">
        <f t="shared" si="32"/>
        <v>2002</v>
      </c>
      <c r="H199" s="2">
        <f t="shared" si="33"/>
        <v>7048.5</v>
      </c>
      <c r="I199" s="2">
        <f t="shared" si="34"/>
        <v>6851.4</v>
      </c>
      <c r="J199" s="2">
        <f t="shared" si="35"/>
        <v>199.1</v>
      </c>
    </row>
    <row r="200" spans="1:10" x14ac:dyDescent="0.45">
      <c r="A200" s="2" t="s">
        <v>477</v>
      </c>
      <c r="B200" s="2" t="str">
        <f t="shared" si="27"/>
        <v>Male</v>
      </c>
      <c r="C200" s="2" t="str">
        <f t="shared" si="28"/>
        <v>United States</v>
      </c>
      <c r="D200" s="2" t="str">
        <f t="shared" si="29"/>
        <v>Spanish</v>
      </c>
      <c r="E200" s="2" t="str">
        <f t="shared" si="30"/>
        <v>Reggaeton</v>
      </c>
      <c r="F200" s="2" t="str">
        <f t="shared" si="31"/>
        <v>Solo</v>
      </c>
      <c r="G200" s="2">
        <f t="shared" si="32"/>
        <v>2019</v>
      </c>
      <c r="H200" s="2">
        <f t="shared" si="33"/>
        <v>8282.2999999999993</v>
      </c>
      <c r="I200" s="2">
        <f t="shared" si="34"/>
        <v>6707</v>
      </c>
      <c r="J200" s="2">
        <f t="shared" si="35"/>
        <v>1607.4</v>
      </c>
    </row>
    <row r="201" spans="1:10" x14ac:dyDescent="0.45">
      <c r="A201" s="2" t="s">
        <v>118</v>
      </c>
      <c r="B201" s="2" t="str">
        <f t="shared" si="27"/>
        <v>Male</v>
      </c>
      <c r="C201" s="2" t="str">
        <f t="shared" si="28"/>
        <v>United States</v>
      </c>
      <c r="D201" s="2" t="str">
        <f t="shared" si="29"/>
        <v>English</v>
      </c>
      <c r="E201" s="2" t="str">
        <f t="shared" si="30"/>
        <v>Hip-Hop</v>
      </c>
      <c r="F201" s="2" t="str">
        <f t="shared" si="31"/>
        <v>Solo</v>
      </c>
      <c r="G201" s="2">
        <f t="shared" si="32"/>
        <v>1996</v>
      </c>
      <c r="H201" s="2">
        <f t="shared" si="33"/>
        <v>24440.1</v>
      </c>
      <c r="I201" s="2">
        <f t="shared" si="34"/>
        <v>13311.3</v>
      </c>
      <c r="J201" s="2">
        <f t="shared" si="35"/>
        <v>11139.9</v>
      </c>
    </row>
    <row r="202" spans="1:10" x14ac:dyDescent="0.45">
      <c r="A202" s="2" t="s">
        <v>494</v>
      </c>
      <c r="B202" s="2" t="str">
        <f t="shared" si="27"/>
        <v>Female</v>
      </c>
      <c r="C202" s="2" t="str">
        <f t="shared" si="28"/>
        <v>South Korea</v>
      </c>
      <c r="D202" s="2" t="str">
        <f t="shared" si="29"/>
        <v>Korean</v>
      </c>
      <c r="E202" s="2" t="str">
        <f t="shared" si="30"/>
        <v>K-Pop</v>
      </c>
      <c r="F202" s="2" t="str">
        <f t="shared" si="31"/>
        <v>Solo</v>
      </c>
      <c r="G202" s="2">
        <f t="shared" si="32"/>
        <v>2016</v>
      </c>
      <c r="H202" s="2">
        <f t="shared" si="33"/>
        <v>8056.8</v>
      </c>
      <c r="I202" s="2">
        <f t="shared" si="34"/>
        <v>4415.6000000000004</v>
      </c>
      <c r="J202" s="2">
        <f t="shared" si="35"/>
        <v>3648.3</v>
      </c>
    </row>
    <row r="203" spans="1:10" x14ac:dyDescent="0.45">
      <c r="A203" s="2" t="s">
        <v>422</v>
      </c>
      <c r="B203" s="2" t="str">
        <f t="shared" si="27"/>
        <v>Female</v>
      </c>
      <c r="C203" s="2" t="str">
        <f t="shared" si="28"/>
        <v>United States</v>
      </c>
      <c r="D203" s="2" t="str">
        <f t="shared" si="29"/>
        <v>English</v>
      </c>
      <c r="E203" s="2" t="str">
        <f t="shared" si="30"/>
        <v>Pop</v>
      </c>
      <c r="F203" s="2" t="str">
        <f t="shared" si="31"/>
        <v>Solo</v>
      </c>
      <c r="G203" s="2">
        <f t="shared" si="32"/>
        <v>1999</v>
      </c>
      <c r="H203" s="2">
        <f t="shared" si="33"/>
        <v>9115.7000000000007</v>
      </c>
      <c r="I203" s="2">
        <f t="shared" si="34"/>
        <v>7543</v>
      </c>
      <c r="J203" s="2">
        <f t="shared" si="35"/>
        <v>1578.6</v>
      </c>
    </row>
    <row r="204" spans="1:10" x14ac:dyDescent="0.45">
      <c r="A204" s="2" t="s">
        <v>402</v>
      </c>
      <c r="B204" s="2" t="str">
        <f t="shared" si="27"/>
        <v>Male</v>
      </c>
      <c r="C204" s="2" t="str">
        <f t="shared" si="28"/>
        <v>United States</v>
      </c>
      <c r="D204" s="2" t="str">
        <f t="shared" si="29"/>
        <v>English</v>
      </c>
      <c r="E204" s="2" t="str">
        <f t="shared" si="30"/>
        <v>R&amp;B</v>
      </c>
      <c r="F204" s="2" t="str">
        <f t="shared" si="31"/>
        <v>Solo</v>
      </c>
      <c r="G204" s="2">
        <f t="shared" si="32"/>
        <v>2009</v>
      </c>
      <c r="H204" s="2">
        <f t="shared" si="33"/>
        <v>9713</v>
      </c>
      <c r="I204" s="2">
        <f t="shared" si="34"/>
        <v>5586.8</v>
      </c>
      <c r="J204" s="2">
        <f t="shared" si="35"/>
        <v>4126.1000000000004</v>
      </c>
    </row>
    <row r="205" spans="1:10" x14ac:dyDescent="0.45">
      <c r="A205" s="2" t="s">
        <v>497</v>
      </c>
      <c r="B205" s="2" t="str">
        <f t="shared" si="27"/>
        <v>Female</v>
      </c>
      <c r="C205" s="2" t="str">
        <f t="shared" si="28"/>
        <v>United Kingdom</v>
      </c>
      <c r="D205" s="2" t="str">
        <f t="shared" si="29"/>
        <v>English</v>
      </c>
      <c r="E205" s="2" t="str">
        <f t="shared" si="30"/>
        <v>Pop</v>
      </c>
      <c r="F205" s="2" t="str">
        <f t="shared" si="31"/>
        <v>Solo</v>
      </c>
      <c r="G205" s="2">
        <f t="shared" si="32"/>
        <v>2014</v>
      </c>
      <c r="H205" s="2">
        <f t="shared" si="33"/>
        <v>8019.9</v>
      </c>
      <c r="I205" s="2">
        <f t="shared" si="34"/>
        <v>3097.3</v>
      </c>
      <c r="J205" s="2">
        <f t="shared" si="35"/>
        <v>4922.6000000000004</v>
      </c>
    </row>
    <row r="206" spans="1:10" x14ac:dyDescent="0.45">
      <c r="A206" s="2" t="s">
        <v>177</v>
      </c>
      <c r="B206" s="2" t="str">
        <f t="shared" si="27"/>
        <v>Male</v>
      </c>
      <c r="C206" s="2" t="str">
        <f t="shared" si="28"/>
        <v>United States</v>
      </c>
      <c r="D206" s="2" t="str">
        <f t="shared" si="29"/>
        <v>Spanish</v>
      </c>
      <c r="E206" s="2" t="str">
        <f t="shared" si="30"/>
        <v>Reggaeton</v>
      </c>
      <c r="F206" s="2" t="str">
        <f t="shared" si="31"/>
        <v>Solo</v>
      </c>
      <c r="G206" s="2">
        <f t="shared" si="32"/>
        <v>2017</v>
      </c>
      <c r="H206" s="2">
        <f t="shared" si="33"/>
        <v>17516.099999999999</v>
      </c>
      <c r="I206" s="2">
        <f t="shared" si="34"/>
        <v>16311.4</v>
      </c>
      <c r="J206" s="2">
        <f t="shared" si="35"/>
        <v>1210.7</v>
      </c>
    </row>
    <row r="207" spans="1:10" x14ac:dyDescent="0.45">
      <c r="A207" s="2" t="s">
        <v>355</v>
      </c>
      <c r="B207" s="2" t="str">
        <f t="shared" si="27"/>
        <v>Female</v>
      </c>
      <c r="C207" s="2" t="str">
        <f t="shared" si="28"/>
        <v>United States</v>
      </c>
      <c r="D207" s="2" t="str">
        <f t="shared" si="29"/>
        <v>English</v>
      </c>
      <c r="E207" s="2" t="str">
        <f t="shared" si="30"/>
        <v>R&amp;B</v>
      </c>
      <c r="F207" s="2" t="str">
        <f t="shared" si="31"/>
        <v>Solo</v>
      </c>
      <c r="G207" s="2">
        <f t="shared" si="32"/>
        <v>2002</v>
      </c>
      <c r="H207" s="2">
        <f t="shared" si="33"/>
        <v>10731.7</v>
      </c>
      <c r="I207" s="2">
        <f t="shared" si="34"/>
        <v>6224.9</v>
      </c>
      <c r="J207" s="2">
        <f t="shared" si="35"/>
        <v>4506.8</v>
      </c>
    </row>
    <row r="208" spans="1:10" x14ac:dyDescent="0.45">
      <c r="A208" s="2" t="s">
        <v>571</v>
      </c>
      <c r="B208" s="2" t="str">
        <f t="shared" si="27"/>
        <v>Male</v>
      </c>
      <c r="C208" s="2" t="str">
        <f t="shared" si="28"/>
        <v>United States</v>
      </c>
      <c r="D208" s="2" t="str">
        <f t="shared" si="29"/>
        <v>English</v>
      </c>
      <c r="E208" s="2" t="str">
        <f t="shared" si="30"/>
        <v>Hip-Hop</v>
      </c>
      <c r="F208" s="2" t="str">
        <f t="shared" si="31"/>
        <v>Solo</v>
      </c>
      <c r="G208" s="2">
        <f t="shared" si="32"/>
        <v>2010</v>
      </c>
      <c r="H208" s="2">
        <f t="shared" si="33"/>
        <v>7073.7</v>
      </c>
      <c r="I208" s="2">
        <f t="shared" si="34"/>
        <v>2882.3</v>
      </c>
      <c r="J208" s="2">
        <f t="shared" si="35"/>
        <v>4191.3999999999996</v>
      </c>
    </row>
    <row r="209" spans="1:10" x14ac:dyDescent="0.45">
      <c r="A209" s="2" t="s">
        <v>461</v>
      </c>
      <c r="B209" s="2" t="str">
        <f t="shared" si="27"/>
        <v>Male</v>
      </c>
      <c r="C209" s="2" t="str">
        <f t="shared" si="28"/>
        <v>South Korea</v>
      </c>
      <c r="D209" s="2" t="str">
        <f t="shared" si="29"/>
        <v>Korean</v>
      </c>
      <c r="E209" s="2" t="str">
        <f t="shared" si="30"/>
        <v>K-Pop</v>
      </c>
      <c r="F209" s="2" t="str">
        <f t="shared" si="31"/>
        <v>Solo</v>
      </c>
      <c r="G209" s="2">
        <f t="shared" si="32"/>
        <v>2013</v>
      </c>
      <c r="H209" s="2">
        <f t="shared" si="33"/>
        <v>8472.9</v>
      </c>
      <c r="I209" s="2">
        <f t="shared" si="34"/>
        <v>7819.3</v>
      </c>
      <c r="J209" s="2">
        <f t="shared" si="35"/>
        <v>656.6</v>
      </c>
    </row>
    <row r="210" spans="1:10" x14ac:dyDescent="0.45">
      <c r="A210" s="2" t="s">
        <v>450</v>
      </c>
      <c r="B210" s="2" t="str">
        <f t="shared" si="27"/>
        <v>Male</v>
      </c>
      <c r="C210" s="2" t="str">
        <f t="shared" si="28"/>
        <v>Mexico</v>
      </c>
      <c r="D210" s="2" t="str">
        <f t="shared" si="29"/>
        <v>Spanish</v>
      </c>
      <c r="E210" s="2" t="str">
        <f t="shared" si="30"/>
        <v>Regional Mexican</v>
      </c>
      <c r="F210" s="2" t="str">
        <f t="shared" si="31"/>
        <v>Solo</v>
      </c>
      <c r="G210" s="2">
        <f t="shared" si="32"/>
        <v>1975</v>
      </c>
      <c r="H210" s="2">
        <f t="shared" si="33"/>
        <v>8622.1</v>
      </c>
      <c r="I210" s="2">
        <f t="shared" si="34"/>
        <v>8534</v>
      </c>
      <c r="J210" s="2">
        <f t="shared" si="35"/>
        <v>98.1</v>
      </c>
    </row>
    <row r="211" spans="1:10" x14ac:dyDescent="0.45">
      <c r="A211" s="2" t="s">
        <v>309</v>
      </c>
      <c r="B211" s="2" t="str">
        <f t="shared" si="27"/>
        <v>Male</v>
      </c>
      <c r="C211" s="2" t="str">
        <f t="shared" si="28"/>
        <v>United States</v>
      </c>
      <c r="D211" s="2" t="str">
        <f t="shared" si="29"/>
        <v>English</v>
      </c>
      <c r="E211" s="2" t="str">
        <f t="shared" si="30"/>
        <v>R&amp;B</v>
      </c>
      <c r="F211" s="2" t="str">
        <f t="shared" si="31"/>
        <v>Solo</v>
      </c>
      <c r="G211" s="2">
        <f t="shared" si="32"/>
        <v>2004</v>
      </c>
      <c r="H211" s="2">
        <f t="shared" si="33"/>
        <v>11821.6</v>
      </c>
      <c r="I211" s="2">
        <f t="shared" si="34"/>
        <v>7454.6</v>
      </c>
      <c r="J211" s="2">
        <f t="shared" si="35"/>
        <v>4369.1000000000004</v>
      </c>
    </row>
    <row r="212" spans="1:10" x14ac:dyDescent="0.45">
      <c r="A212" s="2" t="s">
        <v>274</v>
      </c>
      <c r="B212" s="2" t="str">
        <f t="shared" si="27"/>
        <v>Male</v>
      </c>
      <c r="C212" s="2" t="str">
        <f t="shared" si="28"/>
        <v>United States</v>
      </c>
      <c r="D212" s="2" t="str">
        <f t="shared" si="29"/>
        <v>English</v>
      </c>
      <c r="E212" s="2" t="str">
        <f t="shared" si="30"/>
        <v>Pop</v>
      </c>
      <c r="F212" s="2" t="str">
        <f t="shared" si="31"/>
        <v>Solo</v>
      </c>
      <c r="G212" s="2">
        <f t="shared" si="32"/>
        <v>1999</v>
      </c>
      <c r="H212" s="2">
        <f t="shared" si="33"/>
        <v>13208.3</v>
      </c>
      <c r="I212" s="2">
        <f t="shared" si="34"/>
        <v>12134.4</v>
      </c>
      <c r="J212" s="2">
        <f t="shared" si="35"/>
        <v>1076.8</v>
      </c>
    </row>
    <row r="213" spans="1:10" x14ac:dyDescent="0.45">
      <c r="A213" s="2" t="s">
        <v>544</v>
      </c>
      <c r="B213" s="2" t="str">
        <f t="shared" si="27"/>
        <v>Male</v>
      </c>
      <c r="C213" s="2" t="str">
        <f t="shared" si="28"/>
        <v>United States</v>
      </c>
      <c r="D213" s="2" t="str">
        <f t="shared" si="29"/>
        <v>English</v>
      </c>
      <c r="E213" s="2" t="str">
        <f t="shared" si="30"/>
        <v>Country</v>
      </c>
      <c r="F213" s="2" t="str">
        <f t="shared" si="31"/>
        <v>Solo</v>
      </c>
      <c r="G213" s="2">
        <f t="shared" si="32"/>
        <v>1955</v>
      </c>
      <c r="H213" s="2">
        <f t="shared" si="33"/>
        <v>7450.6</v>
      </c>
      <c r="I213" s="2">
        <f t="shared" si="34"/>
        <v>6491.8</v>
      </c>
      <c r="J213" s="2">
        <f t="shared" si="35"/>
        <v>961.4</v>
      </c>
    </row>
    <row r="214" spans="1:10" x14ac:dyDescent="0.45">
      <c r="A214" s="2" t="s">
        <v>231</v>
      </c>
      <c r="B214" s="2" t="str">
        <f t="shared" si="27"/>
        <v>Male</v>
      </c>
      <c r="C214" s="2" t="str">
        <f t="shared" si="28"/>
        <v>Japan</v>
      </c>
      <c r="D214" s="2" t="str">
        <f t="shared" si="29"/>
        <v>English</v>
      </c>
      <c r="E214" s="2" t="str">
        <f t="shared" si="30"/>
        <v>R&amp;B</v>
      </c>
      <c r="F214" s="2" t="str">
        <f t="shared" si="31"/>
        <v>Solo</v>
      </c>
      <c r="G214" s="2">
        <f t="shared" si="32"/>
        <v>2017</v>
      </c>
      <c r="H214" s="2">
        <f t="shared" si="33"/>
        <v>14512.1</v>
      </c>
      <c r="I214" s="2">
        <f t="shared" si="34"/>
        <v>13579.3</v>
      </c>
      <c r="J214" s="2">
        <f t="shared" si="35"/>
        <v>938.4</v>
      </c>
    </row>
    <row r="215" spans="1:10" x14ac:dyDescent="0.45">
      <c r="A215" s="2" t="s">
        <v>419</v>
      </c>
      <c r="B215" s="2" t="str">
        <f t="shared" si="27"/>
        <v>Male</v>
      </c>
      <c r="C215" s="2" t="str">
        <f t="shared" si="28"/>
        <v>United Kingdom</v>
      </c>
      <c r="D215" s="2" t="str">
        <f t="shared" si="29"/>
        <v>English</v>
      </c>
      <c r="E215" s="2" t="str">
        <f t="shared" si="30"/>
        <v>EDM</v>
      </c>
      <c r="F215" s="2" t="str">
        <f t="shared" si="31"/>
        <v>Solo</v>
      </c>
      <c r="G215" s="2">
        <f t="shared" si="32"/>
        <v>2015</v>
      </c>
      <c r="H215" s="2">
        <f t="shared" si="33"/>
        <v>9206.7000000000007</v>
      </c>
      <c r="I215" s="2">
        <f t="shared" si="34"/>
        <v>7645.1</v>
      </c>
      <c r="J215" s="2">
        <f t="shared" si="35"/>
        <v>1564.1</v>
      </c>
    </row>
    <row r="216" spans="1:10" x14ac:dyDescent="0.45">
      <c r="A216" s="2" t="s">
        <v>433</v>
      </c>
      <c r="B216" s="2" t="str">
        <f t="shared" si="27"/>
        <v>Male</v>
      </c>
      <c r="C216" s="2" t="str">
        <f t="shared" si="28"/>
        <v>United States</v>
      </c>
      <c r="D216" s="2" t="str">
        <f t="shared" si="29"/>
        <v>English</v>
      </c>
      <c r="E216" s="2" t="str">
        <f t="shared" si="30"/>
        <v>Pop</v>
      </c>
      <c r="F216" s="2" t="str">
        <f t="shared" si="31"/>
        <v>Group</v>
      </c>
      <c r="G216" s="2">
        <f t="shared" si="32"/>
        <v>2006</v>
      </c>
      <c r="H216" s="2">
        <f t="shared" si="33"/>
        <v>8909.9</v>
      </c>
      <c r="I216" s="2">
        <f t="shared" si="34"/>
        <v>6844.4</v>
      </c>
      <c r="J216" s="2">
        <f t="shared" si="35"/>
        <v>2067.6999999999998</v>
      </c>
    </row>
    <row r="217" spans="1:10" x14ac:dyDescent="0.45">
      <c r="A217" s="2" t="s">
        <v>235</v>
      </c>
      <c r="B217" s="2" t="str">
        <f t="shared" si="27"/>
        <v>Male</v>
      </c>
      <c r="C217" s="2" t="str">
        <f t="shared" si="28"/>
        <v>Brazil</v>
      </c>
      <c r="D217" s="2" t="str">
        <f t="shared" si="29"/>
        <v>Portuguese</v>
      </c>
      <c r="E217" s="2" t="str">
        <f t="shared" si="30"/>
        <v>Sertanjeo</v>
      </c>
      <c r="F217" s="2" t="str">
        <f t="shared" si="31"/>
        <v>Group</v>
      </c>
      <c r="G217" s="2">
        <f t="shared" si="32"/>
        <v>2007</v>
      </c>
      <c r="H217" s="2">
        <f t="shared" si="33"/>
        <v>14404.4</v>
      </c>
      <c r="I217" s="2">
        <f t="shared" si="34"/>
        <v>11024</v>
      </c>
      <c r="J217" s="2">
        <f t="shared" si="35"/>
        <v>3391.4</v>
      </c>
    </row>
    <row r="218" spans="1:10" x14ac:dyDescent="0.45">
      <c r="A218" s="2" t="s">
        <v>573</v>
      </c>
      <c r="B218" s="2" t="str">
        <f t="shared" si="27"/>
        <v>Male</v>
      </c>
      <c r="C218" s="2" t="str">
        <f t="shared" si="28"/>
        <v>Mexico</v>
      </c>
      <c r="D218" s="2" t="str">
        <f t="shared" si="29"/>
        <v>Spanish</v>
      </c>
      <c r="E218" s="2" t="str">
        <f t="shared" si="30"/>
        <v>Latin</v>
      </c>
      <c r="F218" s="2" t="str">
        <f t="shared" si="31"/>
        <v>Solo</v>
      </c>
      <c r="G218" s="2">
        <f t="shared" si="32"/>
        <v>1971</v>
      </c>
      <c r="H218" s="2">
        <f t="shared" si="33"/>
        <v>7059.2</v>
      </c>
      <c r="I218" s="2">
        <f t="shared" si="34"/>
        <v>6505.8</v>
      </c>
      <c r="J218" s="2">
        <f t="shared" si="35"/>
        <v>557.1</v>
      </c>
    </row>
    <row r="219" spans="1:10" x14ac:dyDescent="0.45">
      <c r="A219" s="2" t="s">
        <v>421</v>
      </c>
      <c r="B219" s="2" t="str">
        <f t="shared" si="27"/>
        <v>Male</v>
      </c>
      <c r="C219" s="2" t="str">
        <f t="shared" si="28"/>
        <v>Colombia</v>
      </c>
      <c r="D219" s="2" t="str">
        <f t="shared" si="29"/>
        <v>Spanish</v>
      </c>
      <c r="E219" s="2" t="str">
        <f t="shared" si="30"/>
        <v>Latin</v>
      </c>
      <c r="F219" s="2" t="str">
        <f t="shared" si="31"/>
        <v>Solo</v>
      </c>
      <c r="G219" s="2">
        <f t="shared" si="32"/>
        <v>1988</v>
      </c>
      <c r="H219" s="2">
        <f t="shared" si="33"/>
        <v>9121.6</v>
      </c>
      <c r="I219" s="2">
        <f t="shared" si="34"/>
        <v>4954.8</v>
      </c>
      <c r="J219" s="2">
        <f t="shared" si="35"/>
        <v>4166.8</v>
      </c>
    </row>
    <row r="220" spans="1:10" x14ac:dyDescent="0.45">
      <c r="A220" s="2" t="s">
        <v>39</v>
      </c>
      <c r="B220" s="2" t="str">
        <f t="shared" si="27"/>
        <v>Male</v>
      </c>
      <c r="C220" s="2" t="str">
        <f t="shared" si="28"/>
        <v>United States</v>
      </c>
      <c r="D220" s="2" t="str">
        <f t="shared" si="29"/>
        <v>English</v>
      </c>
      <c r="E220" s="2" t="str">
        <f t="shared" si="30"/>
        <v>Hip-Hop</v>
      </c>
      <c r="F220" s="2" t="str">
        <f t="shared" si="31"/>
        <v>Solo</v>
      </c>
      <c r="G220" s="2">
        <f t="shared" si="32"/>
        <v>2015</v>
      </c>
      <c r="H220" s="2">
        <f t="shared" si="33"/>
        <v>46276.4</v>
      </c>
      <c r="I220" s="2">
        <f t="shared" si="34"/>
        <v>34132.1</v>
      </c>
      <c r="J220" s="2">
        <f t="shared" si="35"/>
        <v>12155.1</v>
      </c>
    </row>
    <row r="221" spans="1:10" x14ac:dyDescent="0.45">
      <c r="A221" s="2" t="s">
        <v>469</v>
      </c>
      <c r="B221" s="2" t="str">
        <f t="shared" si="27"/>
        <v>Male</v>
      </c>
      <c r="C221" s="2" t="str">
        <f t="shared" si="28"/>
        <v>United States</v>
      </c>
      <c r="D221" s="2" t="str">
        <f t="shared" si="29"/>
        <v>English</v>
      </c>
      <c r="E221" s="2" t="str">
        <f t="shared" si="30"/>
        <v>Hip-Hop</v>
      </c>
      <c r="F221" s="2" t="str">
        <f t="shared" si="31"/>
        <v>Solo</v>
      </c>
      <c r="G221" s="2">
        <f t="shared" si="32"/>
        <v>1991</v>
      </c>
      <c r="H221" s="2">
        <f t="shared" si="33"/>
        <v>8370.9</v>
      </c>
      <c r="I221" s="2">
        <f t="shared" si="34"/>
        <v>1884.2</v>
      </c>
      <c r="J221" s="2">
        <f t="shared" si="35"/>
        <v>6486.7</v>
      </c>
    </row>
    <row r="222" spans="1:10" x14ac:dyDescent="0.45">
      <c r="A222" s="2" t="s">
        <v>243</v>
      </c>
      <c r="B222" s="2" t="str">
        <f t="shared" si="27"/>
        <v>Male</v>
      </c>
      <c r="C222" s="2" t="str">
        <f t="shared" si="28"/>
        <v>France</v>
      </c>
      <c r="D222" s="2" t="str">
        <f t="shared" si="29"/>
        <v>French</v>
      </c>
      <c r="E222" s="2" t="str">
        <f t="shared" si="30"/>
        <v>Hip-Hop</v>
      </c>
      <c r="F222" s="2" t="str">
        <f t="shared" si="31"/>
        <v>Solo</v>
      </c>
      <c r="G222" s="2">
        <f t="shared" si="32"/>
        <v>2013</v>
      </c>
      <c r="H222" s="2">
        <f t="shared" si="33"/>
        <v>14127.8</v>
      </c>
      <c r="I222" s="2">
        <f t="shared" si="34"/>
        <v>11142.3</v>
      </c>
      <c r="J222" s="2">
        <f t="shared" si="35"/>
        <v>2993.2</v>
      </c>
    </row>
    <row r="223" spans="1:10" x14ac:dyDescent="0.45">
      <c r="A223" s="2" t="s">
        <v>435</v>
      </c>
      <c r="B223" s="2" t="str">
        <f t="shared" si="27"/>
        <v>Female</v>
      </c>
      <c r="C223" s="2" t="str">
        <f t="shared" si="28"/>
        <v>United States</v>
      </c>
      <c r="D223" s="2" t="str">
        <f t="shared" si="29"/>
        <v>English</v>
      </c>
      <c r="E223" s="2" t="str">
        <f t="shared" si="30"/>
        <v>Pop</v>
      </c>
      <c r="F223" s="2" t="str">
        <f t="shared" si="31"/>
        <v>Solo</v>
      </c>
      <c r="G223" s="2">
        <f t="shared" si="32"/>
        <v>2010</v>
      </c>
      <c r="H223" s="2">
        <f t="shared" si="33"/>
        <v>8899.6</v>
      </c>
      <c r="I223" s="2">
        <f t="shared" si="34"/>
        <v>4219.1000000000004</v>
      </c>
      <c r="J223" s="2">
        <f t="shared" si="35"/>
        <v>4681.7</v>
      </c>
    </row>
    <row r="224" spans="1:10" x14ac:dyDescent="0.45">
      <c r="A224" s="2" t="s">
        <v>407</v>
      </c>
      <c r="B224" s="2" t="str">
        <f t="shared" si="27"/>
        <v>Male</v>
      </c>
      <c r="C224" s="2" t="str">
        <f t="shared" si="28"/>
        <v>Mexico</v>
      </c>
      <c r="D224" s="2" t="str">
        <f t="shared" si="29"/>
        <v>Spanish</v>
      </c>
      <c r="E224" s="2" t="str">
        <f t="shared" si="30"/>
        <v>Regional Mexican</v>
      </c>
      <c r="F224" s="2" t="str">
        <f t="shared" si="31"/>
        <v>Group</v>
      </c>
      <c r="G224" s="2">
        <f t="shared" si="32"/>
        <v>2007</v>
      </c>
      <c r="H224" s="2">
        <f t="shared" si="33"/>
        <v>9503.2999999999993</v>
      </c>
      <c r="I224" s="2">
        <f t="shared" si="34"/>
        <v>2467.8000000000002</v>
      </c>
      <c r="J224" s="2">
        <f t="shared" si="35"/>
        <v>7045.9</v>
      </c>
    </row>
    <row r="225" spans="1:10" x14ac:dyDescent="0.45">
      <c r="A225" s="2" t="s">
        <v>331</v>
      </c>
      <c r="B225" s="2" t="str">
        <f t="shared" si="27"/>
        <v>Male</v>
      </c>
      <c r="C225" s="2" t="str">
        <f t="shared" si="28"/>
        <v>South Korea</v>
      </c>
      <c r="D225" s="2" t="str">
        <f t="shared" si="29"/>
        <v>Korean</v>
      </c>
      <c r="E225" s="2" t="str">
        <f t="shared" si="30"/>
        <v>K-Pop</v>
      </c>
      <c r="F225" s="2" t="str">
        <f t="shared" si="31"/>
        <v>Solo</v>
      </c>
      <c r="G225" s="2">
        <f t="shared" si="32"/>
        <v>2013</v>
      </c>
      <c r="H225" s="2">
        <f t="shared" si="33"/>
        <v>11232.6</v>
      </c>
      <c r="I225" s="2">
        <f t="shared" si="34"/>
        <v>9653.7999999999993</v>
      </c>
      <c r="J225" s="2">
        <f t="shared" si="35"/>
        <v>1583.7</v>
      </c>
    </row>
    <row r="226" spans="1:10" x14ac:dyDescent="0.45">
      <c r="A226" s="2" t="s">
        <v>101</v>
      </c>
      <c r="B226" s="2" t="str">
        <f t="shared" si="27"/>
        <v>Male</v>
      </c>
      <c r="C226" s="2" t="str">
        <f t="shared" si="28"/>
        <v>Mexico</v>
      </c>
      <c r="D226" s="2" t="str">
        <f t="shared" si="29"/>
        <v>Spanish</v>
      </c>
      <c r="E226" s="2" t="str">
        <f t="shared" si="30"/>
        <v>Regional Mexican</v>
      </c>
      <c r="F226" s="2" t="str">
        <f t="shared" si="31"/>
        <v>Solo</v>
      </c>
      <c r="G226" s="2">
        <f t="shared" si="32"/>
        <v>2019</v>
      </c>
      <c r="H226" s="2">
        <f t="shared" si="33"/>
        <v>27406.799999999999</v>
      </c>
      <c r="I226" s="2">
        <f t="shared" si="34"/>
        <v>18341.2</v>
      </c>
      <c r="J226" s="2">
        <f t="shared" si="35"/>
        <v>9084.4</v>
      </c>
    </row>
    <row r="227" spans="1:10" x14ac:dyDescent="0.45">
      <c r="A227" s="2" t="s">
        <v>15</v>
      </c>
      <c r="B227" s="2" t="str">
        <f t="shared" si="27"/>
        <v>Male</v>
      </c>
      <c r="C227" s="2" t="str">
        <f t="shared" si="28"/>
        <v>Canada</v>
      </c>
      <c r="D227" s="2" t="str">
        <f t="shared" si="29"/>
        <v>English</v>
      </c>
      <c r="E227" s="2" t="str">
        <f t="shared" si="30"/>
        <v>Pop</v>
      </c>
      <c r="F227" s="2" t="str">
        <f t="shared" si="31"/>
        <v>Solo</v>
      </c>
      <c r="G227" s="2">
        <f t="shared" si="32"/>
        <v>2009</v>
      </c>
      <c r="H227" s="2">
        <f t="shared" si="33"/>
        <v>78104.399999999994</v>
      </c>
      <c r="I227" s="2">
        <f t="shared" si="34"/>
        <v>48316.2</v>
      </c>
      <c r="J227" s="2">
        <f t="shared" si="35"/>
        <v>29788.2</v>
      </c>
    </row>
    <row r="228" spans="1:10" x14ac:dyDescent="0.45">
      <c r="A228" s="2" t="s">
        <v>222</v>
      </c>
      <c r="B228" s="2" t="str">
        <f t="shared" si="27"/>
        <v>Male</v>
      </c>
      <c r="C228" s="2" t="str">
        <f t="shared" si="28"/>
        <v>United States</v>
      </c>
      <c r="D228" s="2" t="str">
        <f t="shared" si="29"/>
        <v>Spanish</v>
      </c>
      <c r="E228" s="2" t="str">
        <f t="shared" si="30"/>
        <v>Reggaeton</v>
      </c>
      <c r="F228" s="2" t="str">
        <f t="shared" si="31"/>
        <v>Solo</v>
      </c>
      <c r="G228" s="2">
        <f t="shared" si="32"/>
        <v>2010</v>
      </c>
      <c r="H228" s="2">
        <f t="shared" si="33"/>
        <v>15041.1</v>
      </c>
      <c r="I228" s="2">
        <f t="shared" si="34"/>
        <v>4978.8999999999996</v>
      </c>
      <c r="J228" s="2">
        <f t="shared" si="35"/>
        <v>10062.1</v>
      </c>
    </row>
    <row r="229" spans="1:10" x14ac:dyDescent="0.45">
      <c r="A229" s="2" t="s">
        <v>166</v>
      </c>
      <c r="B229" s="2" t="str">
        <f t="shared" si="27"/>
        <v>Male</v>
      </c>
      <c r="C229" s="2" t="str">
        <f t="shared" si="28"/>
        <v>United States</v>
      </c>
      <c r="D229" s="2" t="str">
        <f t="shared" si="29"/>
        <v>English</v>
      </c>
      <c r="E229" s="2" t="str">
        <f t="shared" si="30"/>
        <v>Pop</v>
      </c>
      <c r="F229" s="2" t="str">
        <f t="shared" si="31"/>
        <v>Solo</v>
      </c>
      <c r="G229" s="2">
        <f t="shared" si="32"/>
        <v>2002</v>
      </c>
      <c r="H229" s="2">
        <f t="shared" si="33"/>
        <v>18270.8</v>
      </c>
      <c r="I229" s="2">
        <f t="shared" si="34"/>
        <v>13165.8</v>
      </c>
      <c r="J229" s="2">
        <f t="shared" si="35"/>
        <v>5114.8999999999996</v>
      </c>
    </row>
    <row r="230" spans="1:10" x14ac:dyDescent="0.45">
      <c r="A230" s="2" t="s">
        <v>173</v>
      </c>
      <c r="B230" s="2" t="str">
        <f t="shared" si="27"/>
        <v>Female</v>
      </c>
      <c r="C230" s="2" t="str">
        <f t="shared" si="28"/>
        <v>Colombia</v>
      </c>
      <c r="D230" s="2" t="str">
        <f t="shared" si="29"/>
        <v>English</v>
      </c>
      <c r="E230" s="2" t="str">
        <f t="shared" si="30"/>
        <v>R&amp;B</v>
      </c>
      <c r="F230" s="2" t="str">
        <f t="shared" si="31"/>
        <v>Solo</v>
      </c>
      <c r="G230" s="2">
        <f t="shared" si="32"/>
        <v>2012</v>
      </c>
      <c r="H230" s="2">
        <f t="shared" si="33"/>
        <v>18005.3</v>
      </c>
      <c r="I230" s="2">
        <f t="shared" si="34"/>
        <v>10367</v>
      </c>
      <c r="J230" s="2">
        <f t="shared" si="35"/>
        <v>7646.6</v>
      </c>
    </row>
    <row r="231" spans="1:10" x14ac:dyDescent="0.45">
      <c r="A231" s="2" t="s">
        <v>558</v>
      </c>
      <c r="B231" s="2" t="str">
        <f t="shared" si="27"/>
        <v>Male</v>
      </c>
      <c r="C231" s="2" t="str">
        <f t="shared" si="28"/>
        <v>United States</v>
      </c>
      <c r="D231" s="2" t="str">
        <f t="shared" si="29"/>
        <v>English</v>
      </c>
      <c r="E231" s="2" t="str">
        <f t="shared" si="30"/>
        <v>Country</v>
      </c>
      <c r="F231" s="2" t="str">
        <f t="shared" si="31"/>
        <v>Solo</v>
      </c>
      <c r="G231" s="2">
        <f t="shared" si="32"/>
        <v>2014</v>
      </c>
      <c r="H231" s="2">
        <f t="shared" si="33"/>
        <v>7313.2</v>
      </c>
      <c r="I231" s="2">
        <f t="shared" si="34"/>
        <v>7318.3</v>
      </c>
      <c r="J231" s="2">
        <f t="shared" si="35"/>
        <v>8.3000000000000007</v>
      </c>
    </row>
    <row r="232" spans="1:10" x14ac:dyDescent="0.45">
      <c r="A232" s="2" t="s">
        <v>18</v>
      </c>
      <c r="B232" s="2" t="str">
        <f t="shared" si="27"/>
        <v>Male</v>
      </c>
      <c r="C232" s="2" t="str">
        <f t="shared" si="28"/>
        <v>United States</v>
      </c>
      <c r="D232" s="2" t="str">
        <f t="shared" si="29"/>
        <v>English</v>
      </c>
      <c r="E232" s="2" t="str">
        <f t="shared" si="30"/>
        <v>Hip-Hop</v>
      </c>
      <c r="F232" s="2" t="str">
        <f t="shared" si="31"/>
        <v>Solo</v>
      </c>
      <c r="G232" s="2">
        <f t="shared" si="32"/>
        <v>2004</v>
      </c>
      <c r="H232" s="2">
        <f t="shared" si="33"/>
        <v>65142.9</v>
      </c>
      <c r="I232" s="2">
        <f t="shared" si="34"/>
        <v>46558.400000000001</v>
      </c>
      <c r="J232" s="2">
        <f t="shared" si="35"/>
        <v>18584.5</v>
      </c>
    </row>
    <row r="233" spans="1:10" x14ac:dyDescent="0.45">
      <c r="A233" s="2" t="s">
        <v>536</v>
      </c>
      <c r="B233" s="2" t="str">
        <f t="shared" si="27"/>
        <v>Male</v>
      </c>
      <c r="C233" s="2" t="str">
        <f t="shared" si="28"/>
        <v>India</v>
      </c>
      <c r="D233" s="2" t="str">
        <f t="shared" si="29"/>
        <v>Punjabi</v>
      </c>
      <c r="E233" s="2" t="str">
        <f t="shared" si="30"/>
        <v>Hip-Hop</v>
      </c>
      <c r="F233" s="2" t="str">
        <f t="shared" si="31"/>
        <v>Solo</v>
      </c>
      <c r="G233" s="2">
        <f t="shared" si="32"/>
        <v>2014</v>
      </c>
      <c r="H233" s="2">
        <f t="shared" si="33"/>
        <v>7550.3</v>
      </c>
      <c r="I233" s="2">
        <f t="shared" si="34"/>
        <v>6212.4</v>
      </c>
      <c r="J233" s="2">
        <f t="shared" si="35"/>
        <v>1334.7</v>
      </c>
    </row>
    <row r="234" spans="1:10" x14ac:dyDescent="0.45">
      <c r="A234" s="2" t="s">
        <v>62</v>
      </c>
      <c r="B234" s="2" t="str">
        <f t="shared" si="27"/>
        <v>Female</v>
      </c>
      <c r="C234" s="2" t="str">
        <f t="shared" si="28"/>
        <v>Colombia</v>
      </c>
      <c r="D234" s="2" t="str">
        <f t="shared" si="29"/>
        <v>Spanish</v>
      </c>
      <c r="E234" s="2" t="str">
        <f t="shared" si="30"/>
        <v>Reggaeton</v>
      </c>
      <c r="F234" s="2" t="str">
        <f t="shared" si="31"/>
        <v>Solo</v>
      </c>
      <c r="G234" s="2">
        <f t="shared" si="32"/>
        <v>2007</v>
      </c>
      <c r="H234" s="2">
        <f t="shared" si="33"/>
        <v>37549.699999999997</v>
      </c>
      <c r="I234" s="2">
        <f t="shared" si="34"/>
        <v>29603.8</v>
      </c>
      <c r="J234" s="2">
        <f t="shared" si="35"/>
        <v>7961.5</v>
      </c>
    </row>
    <row r="235" spans="1:10" x14ac:dyDescent="0.45">
      <c r="A235" s="2" t="s">
        <v>97</v>
      </c>
      <c r="B235" s="2" t="str">
        <f t="shared" si="27"/>
        <v>Female</v>
      </c>
      <c r="C235" s="2" t="str">
        <f t="shared" si="28"/>
        <v>United States</v>
      </c>
      <c r="D235" s="2" t="str">
        <f t="shared" si="29"/>
        <v>English</v>
      </c>
      <c r="E235" s="2" t="str">
        <f t="shared" si="30"/>
        <v>Pop</v>
      </c>
      <c r="F235" s="2" t="str">
        <f t="shared" si="31"/>
        <v>Solo</v>
      </c>
      <c r="G235" s="2">
        <f t="shared" si="32"/>
        <v>2001</v>
      </c>
      <c r="H235" s="2">
        <f t="shared" si="33"/>
        <v>28248</v>
      </c>
      <c r="I235" s="2">
        <f t="shared" si="34"/>
        <v>25287.5</v>
      </c>
      <c r="J235" s="2">
        <f t="shared" si="35"/>
        <v>2977.8</v>
      </c>
    </row>
    <row r="236" spans="1:10" x14ac:dyDescent="0.45">
      <c r="A236" s="2" t="s">
        <v>356</v>
      </c>
      <c r="B236" s="2" t="str">
        <f t="shared" si="27"/>
        <v>Female</v>
      </c>
      <c r="C236" s="2" t="str">
        <f t="shared" si="28"/>
        <v>United States</v>
      </c>
      <c r="D236" s="2" t="str">
        <f t="shared" si="29"/>
        <v>English</v>
      </c>
      <c r="E236" s="2" t="str">
        <f t="shared" si="30"/>
        <v>R&amp;B</v>
      </c>
      <c r="F236" s="2" t="str">
        <f t="shared" si="31"/>
        <v>Solo</v>
      </c>
      <c r="G236" s="2">
        <f t="shared" si="32"/>
        <v>2014</v>
      </c>
      <c r="H236" s="2">
        <f t="shared" si="33"/>
        <v>10712.8</v>
      </c>
      <c r="I236" s="2">
        <f t="shared" si="34"/>
        <v>6060.2</v>
      </c>
      <c r="J236" s="2">
        <f t="shared" si="35"/>
        <v>4663.3999999999996</v>
      </c>
    </row>
    <row r="237" spans="1:10" x14ac:dyDescent="0.45">
      <c r="A237" s="2" t="s">
        <v>471</v>
      </c>
      <c r="B237" s="2" t="str">
        <f t="shared" si="27"/>
        <v>Female</v>
      </c>
      <c r="C237" s="2" t="str">
        <f t="shared" si="28"/>
        <v>United States</v>
      </c>
      <c r="D237" s="2" t="str">
        <f t="shared" si="29"/>
        <v>English</v>
      </c>
      <c r="E237" s="2" t="str">
        <f t="shared" si="30"/>
        <v>Pop</v>
      </c>
      <c r="F237" s="2" t="str">
        <f t="shared" si="31"/>
        <v>Solo</v>
      </c>
      <c r="G237" s="2">
        <f t="shared" si="32"/>
        <v>2002</v>
      </c>
      <c r="H237" s="2">
        <f t="shared" si="33"/>
        <v>8339.2999999999993</v>
      </c>
      <c r="I237" s="2">
        <f t="shared" si="34"/>
        <v>7864.3</v>
      </c>
      <c r="J237" s="2">
        <f t="shared" si="35"/>
        <v>477.4</v>
      </c>
    </row>
    <row r="238" spans="1:10" x14ac:dyDescent="0.45">
      <c r="A238" s="2" t="s">
        <v>26</v>
      </c>
      <c r="B238" s="2" t="str">
        <f t="shared" si="27"/>
        <v>Male</v>
      </c>
      <c r="C238" s="2" t="str">
        <f t="shared" si="28"/>
        <v>United States</v>
      </c>
      <c r="D238" s="2" t="str">
        <f t="shared" si="29"/>
        <v>English</v>
      </c>
      <c r="E238" s="2" t="str">
        <f t="shared" si="30"/>
        <v>Hip-Hop</v>
      </c>
      <c r="F238" s="2" t="str">
        <f t="shared" si="31"/>
        <v>Solo</v>
      </c>
      <c r="G238" s="2">
        <f t="shared" si="32"/>
        <v>2009</v>
      </c>
      <c r="H238" s="2">
        <f t="shared" si="33"/>
        <v>56459.5</v>
      </c>
      <c r="I238" s="2">
        <f t="shared" si="34"/>
        <v>40752.199999999997</v>
      </c>
      <c r="J238" s="2">
        <f t="shared" si="35"/>
        <v>15725</v>
      </c>
    </row>
    <row r="239" spans="1:10" x14ac:dyDescent="0.45">
      <c r="A239" s="2" t="s">
        <v>305</v>
      </c>
      <c r="B239" s="2" t="str">
        <f t="shared" si="27"/>
        <v>Female</v>
      </c>
      <c r="C239" s="2" t="str">
        <f t="shared" si="28"/>
        <v>United States</v>
      </c>
      <c r="D239" s="2" t="str">
        <f t="shared" si="29"/>
        <v>English</v>
      </c>
      <c r="E239" s="2" t="str">
        <f t="shared" si="30"/>
        <v>Pop</v>
      </c>
      <c r="F239" s="2" t="str">
        <f t="shared" si="31"/>
        <v>Solo</v>
      </c>
      <c r="G239" s="2">
        <f t="shared" si="32"/>
        <v>2009</v>
      </c>
      <c r="H239" s="2">
        <f t="shared" si="33"/>
        <v>12094.7</v>
      </c>
      <c r="I239" s="2">
        <f t="shared" si="34"/>
        <v>7821.4</v>
      </c>
      <c r="J239" s="2">
        <f t="shared" si="35"/>
        <v>4279.1000000000004</v>
      </c>
    </row>
    <row r="240" spans="1:10" x14ac:dyDescent="0.45">
      <c r="A240" s="2" t="s">
        <v>533</v>
      </c>
      <c r="B240" s="2" t="str">
        <f t="shared" si="27"/>
        <v>Male</v>
      </c>
      <c r="C240" s="2" t="str">
        <f t="shared" si="28"/>
        <v>United States</v>
      </c>
      <c r="D240" s="2" t="str">
        <f t="shared" si="29"/>
        <v>English</v>
      </c>
      <c r="E240" s="2" t="str">
        <f t="shared" si="30"/>
        <v>Hip-Hop</v>
      </c>
      <c r="F240" s="2" t="str">
        <f t="shared" si="31"/>
        <v>Solo</v>
      </c>
      <c r="G240" s="2">
        <f t="shared" si="32"/>
        <v>2007</v>
      </c>
      <c r="H240" s="2">
        <f t="shared" si="33"/>
        <v>7589.1</v>
      </c>
      <c r="I240" s="2">
        <f t="shared" si="34"/>
        <v>6273.4</v>
      </c>
      <c r="J240" s="2">
        <f t="shared" si="35"/>
        <v>1315.7</v>
      </c>
    </row>
    <row r="241" spans="1:10" x14ac:dyDescent="0.45">
      <c r="A241" s="2" t="s">
        <v>66</v>
      </c>
      <c r="B241" s="2" t="str">
        <f t="shared" si="27"/>
        <v>Male</v>
      </c>
      <c r="C241" s="2" t="str">
        <f t="shared" si="28"/>
        <v>United States</v>
      </c>
      <c r="D241" s="2" t="str">
        <f t="shared" si="29"/>
        <v>English</v>
      </c>
      <c r="E241" s="2" t="str">
        <f t="shared" si="30"/>
        <v>R&amp;B</v>
      </c>
      <c r="F241" s="2" t="str">
        <f t="shared" si="31"/>
        <v>Solo</v>
      </c>
      <c r="G241" s="2">
        <f t="shared" si="32"/>
        <v>2016</v>
      </c>
      <c r="H241" s="2">
        <f t="shared" si="33"/>
        <v>35727.199999999997</v>
      </c>
      <c r="I241" s="2">
        <f t="shared" si="34"/>
        <v>18499.900000000001</v>
      </c>
      <c r="J241" s="2">
        <f t="shared" si="35"/>
        <v>17234.400000000001</v>
      </c>
    </row>
    <row r="242" spans="1:10" x14ac:dyDescent="0.45">
      <c r="A242" s="2" t="s">
        <v>548</v>
      </c>
      <c r="B242" s="2" t="str">
        <f t="shared" si="27"/>
        <v>Male</v>
      </c>
      <c r="C242" s="2" t="str">
        <f t="shared" si="28"/>
        <v>Argentina</v>
      </c>
      <c r="D242" s="2" t="str">
        <f t="shared" si="29"/>
        <v>Spanish</v>
      </c>
      <c r="E242" s="2" t="str">
        <f t="shared" si="30"/>
        <v>Hip-Hop</v>
      </c>
      <c r="F242" s="2" t="str">
        <f t="shared" si="31"/>
        <v>Solo</v>
      </c>
      <c r="G242" s="2">
        <f t="shared" si="32"/>
        <v>2017</v>
      </c>
      <c r="H242" s="2">
        <f t="shared" si="33"/>
        <v>7405.6</v>
      </c>
      <c r="I242" s="2">
        <f t="shared" si="34"/>
        <v>6405.3</v>
      </c>
      <c r="J242" s="2">
        <f t="shared" si="35"/>
        <v>1014.5</v>
      </c>
    </row>
    <row r="243" spans="1:10" x14ac:dyDescent="0.45">
      <c r="A243" s="2" t="s">
        <v>221</v>
      </c>
      <c r="B243" s="2" t="str">
        <f t="shared" si="27"/>
        <v>Male</v>
      </c>
      <c r="C243" s="2" t="str">
        <f t="shared" si="28"/>
        <v>United States</v>
      </c>
      <c r="D243" s="2" t="str">
        <f t="shared" si="29"/>
        <v>English</v>
      </c>
      <c r="E243" s="2" t="str">
        <f t="shared" si="30"/>
        <v>Hip-Hop</v>
      </c>
      <c r="F243" s="2" t="str">
        <f t="shared" si="31"/>
        <v>Solo</v>
      </c>
      <c r="G243" s="2">
        <f t="shared" si="32"/>
        <v>2008</v>
      </c>
      <c r="H243" s="2">
        <f t="shared" si="33"/>
        <v>15086.8</v>
      </c>
      <c r="I243" s="2">
        <f t="shared" si="34"/>
        <v>10607.6</v>
      </c>
      <c r="J243" s="2">
        <f t="shared" si="35"/>
        <v>4483.8999999999996</v>
      </c>
    </row>
    <row r="244" spans="1:10" x14ac:dyDescent="0.45">
      <c r="A244" s="2" t="s">
        <v>449</v>
      </c>
      <c r="B244" s="2" t="str">
        <f t="shared" si="27"/>
        <v>Male</v>
      </c>
      <c r="C244" s="2" t="str">
        <f t="shared" si="28"/>
        <v>United States</v>
      </c>
      <c r="D244" s="2" t="str">
        <f t="shared" si="29"/>
        <v>English</v>
      </c>
      <c r="E244" s="2" t="str">
        <f t="shared" si="30"/>
        <v>Rock</v>
      </c>
      <c r="F244" s="2" t="str">
        <f t="shared" si="31"/>
        <v>Group</v>
      </c>
      <c r="G244" s="2">
        <f t="shared" si="32"/>
        <v>2003</v>
      </c>
      <c r="H244" s="2">
        <f t="shared" si="33"/>
        <v>8647.7999999999993</v>
      </c>
      <c r="I244" s="2">
        <f t="shared" si="34"/>
        <v>8598.1</v>
      </c>
      <c r="J244" s="2">
        <f t="shared" si="35"/>
        <v>54</v>
      </c>
    </row>
    <row r="245" spans="1:10" x14ac:dyDescent="0.45">
      <c r="A245" s="2" t="s">
        <v>174</v>
      </c>
      <c r="B245" s="2" t="str">
        <f t="shared" si="27"/>
        <v>Male</v>
      </c>
      <c r="C245" s="2" t="str">
        <f t="shared" si="28"/>
        <v>United States</v>
      </c>
      <c r="D245" s="2" t="str">
        <f t="shared" si="29"/>
        <v>English</v>
      </c>
      <c r="E245" s="2" t="str">
        <f t="shared" si="30"/>
        <v>Hip-Hop</v>
      </c>
      <c r="F245" s="2" t="str">
        <f t="shared" si="31"/>
        <v>Solo</v>
      </c>
      <c r="G245" s="2">
        <f t="shared" si="32"/>
        <v>2009</v>
      </c>
      <c r="H245" s="2">
        <f t="shared" si="33"/>
        <v>17738.8</v>
      </c>
      <c r="I245" s="2">
        <f t="shared" si="34"/>
        <v>11748.1</v>
      </c>
      <c r="J245" s="2">
        <f t="shared" si="35"/>
        <v>5997.1</v>
      </c>
    </row>
    <row r="246" spans="1:10" x14ac:dyDescent="0.45">
      <c r="A246" s="2" t="s">
        <v>580</v>
      </c>
      <c r="B246" s="2" t="str">
        <f t="shared" si="27"/>
        <v>Male</v>
      </c>
      <c r="C246" s="2" t="str">
        <f t="shared" si="28"/>
        <v>United States</v>
      </c>
      <c r="D246" s="2" t="str">
        <f t="shared" si="29"/>
        <v>English</v>
      </c>
      <c r="E246" s="2" t="str">
        <f t="shared" si="30"/>
        <v>Metal</v>
      </c>
      <c r="F246" s="2" t="str">
        <f t="shared" si="31"/>
        <v>Group</v>
      </c>
      <c r="G246" s="2">
        <f t="shared" si="32"/>
        <v>1994</v>
      </c>
      <c r="H246" s="2">
        <f t="shared" si="33"/>
        <v>6976.4</v>
      </c>
      <c r="I246" s="2">
        <f t="shared" si="34"/>
        <v>4188.3999999999996</v>
      </c>
      <c r="J246" s="2">
        <f t="shared" si="35"/>
        <v>2798.5</v>
      </c>
    </row>
    <row r="247" spans="1:10" x14ac:dyDescent="0.45">
      <c r="A247" s="2" t="s">
        <v>524</v>
      </c>
      <c r="B247" s="2" t="str">
        <f t="shared" si="27"/>
        <v>Male</v>
      </c>
      <c r="C247" s="2" t="str">
        <f t="shared" si="28"/>
        <v>India</v>
      </c>
      <c r="D247" s="2" t="str">
        <f t="shared" si="29"/>
        <v>Hindi</v>
      </c>
      <c r="E247" s="2" t="str">
        <f t="shared" si="30"/>
        <v>Pop</v>
      </c>
      <c r="F247" s="2" t="str">
        <f t="shared" si="31"/>
        <v>Solo</v>
      </c>
      <c r="G247" s="2">
        <f t="shared" si="32"/>
        <v>1999</v>
      </c>
      <c r="H247" s="2">
        <f t="shared" si="33"/>
        <v>7689.5</v>
      </c>
      <c r="I247" s="2">
        <f t="shared" si="34"/>
        <v>107.1</v>
      </c>
      <c r="J247" s="2">
        <f t="shared" si="35"/>
        <v>7598.6</v>
      </c>
    </row>
    <row r="248" spans="1:10" x14ac:dyDescent="0.45">
      <c r="A248" s="2" t="s">
        <v>146</v>
      </c>
      <c r="B248" s="2" t="str">
        <f t="shared" si="27"/>
        <v>Male</v>
      </c>
      <c r="C248" s="2" t="str">
        <f t="shared" si="28"/>
        <v>Norway</v>
      </c>
      <c r="D248" s="2" t="str">
        <f t="shared" si="29"/>
        <v>English</v>
      </c>
      <c r="E248" s="2" t="str">
        <f t="shared" si="30"/>
        <v>EDM</v>
      </c>
      <c r="F248" s="2" t="str">
        <f t="shared" si="31"/>
        <v>Solo</v>
      </c>
      <c r="G248" s="2">
        <f t="shared" si="32"/>
        <v>2013</v>
      </c>
      <c r="H248" s="2">
        <f t="shared" si="33"/>
        <v>19707.8</v>
      </c>
      <c r="I248" s="2">
        <f t="shared" si="34"/>
        <v>17829.8</v>
      </c>
      <c r="J248" s="2">
        <f t="shared" si="35"/>
        <v>1883.3</v>
      </c>
    </row>
    <row r="249" spans="1:10" x14ac:dyDescent="0.45">
      <c r="A249" s="2" t="s">
        <v>379</v>
      </c>
      <c r="B249" s="2" t="str">
        <f t="shared" si="27"/>
        <v>Male</v>
      </c>
      <c r="C249" s="2" t="str">
        <f t="shared" si="28"/>
        <v>Mexico</v>
      </c>
      <c r="D249" s="2" t="str">
        <f t="shared" si="29"/>
        <v>Spanish</v>
      </c>
      <c r="E249" s="2" t="str">
        <f t="shared" si="30"/>
        <v>Regional Mexican</v>
      </c>
      <c r="F249" s="2" t="str">
        <f t="shared" si="31"/>
        <v>Group</v>
      </c>
      <c r="G249" s="2">
        <f t="shared" si="32"/>
        <v>1997</v>
      </c>
      <c r="H249" s="2">
        <f t="shared" si="33"/>
        <v>10147.9</v>
      </c>
      <c r="I249" s="2">
        <f t="shared" si="34"/>
        <v>10065.9</v>
      </c>
      <c r="J249" s="2">
        <f t="shared" si="35"/>
        <v>89.1</v>
      </c>
    </row>
    <row r="250" spans="1:10" x14ac:dyDescent="0.45">
      <c r="A250" s="2" t="s">
        <v>348</v>
      </c>
      <c r="B250" s="2" t="str">
        <f t="shared" si="27"/>
        <v>Male</v>
      </c>
      <c r="C250" s="2" t="str">
        <f t="shared" si="28"/>
        <v>United Kingdom</v>
      </c>
      <c r="D250" s="2" t="str">
        <f t="shared" si="29"/>
        <v>English</v>
      </c>
      <c r="E250" s="2" t="str">
        <f t="shared" si="30"/>
        <v>Pop</v>
      </c>
      <c r="F250" s="2" t="str">
        <f t="shared" si="31"/>
        <v>Solo</v>
      </c>
      <c r="G250" s="2">
        <f t="shared" si="32"/>
        <v>2010</v>
      </c>
      <c r="H250" s="2">
        <f t="shared" si="33"/>
        <v>10783.2</v>
      </c>
      <c r="I250" s="2">
        <f t="shared" si="34"/>
        <v>7412.3</v>
      </c>
      <c r="J250" s="2">
        <f t="shared" si="35"/>
        <v>3373.2</v>
      </c>
    </row>
    <row r="251" spans="1:10" x14ac:dyDescent="0.45">
      <c r="A251" s="2" t="s">
        <v>61</v>
      </c>
      <c r="B251" s="2" t="str">
        <f t="shared" si="27"/>
        <v>Female</v>
      </c>
      <c r="C251" s="2" t="str">
        <f t="shared" si="28"/>
        <v>United States</v>
      </c>
      <c r="D251" s="2" t="str">
        <f t="shared" si="29"/>
        <v>English</v>
      </c>
      <c r="E251" s="2" t="str">
        <f t="shared" si="30"/>
        <v>Pop</v>
      </c>
      <c r="F251" s="2" t="str">
        <f t="shared" si="31"/>
        <v>Solo</v>
      </c>
      <c r="G251" s="2">
        <f t="shared" si="32"/>
        <v>2008</v>
      </c>
      <c r="H251" s="2">
        <f t="shared" si="33"/>
        <v>37565.4</v>
      </c>
      <c r="I251" s="2">
        <f t="shared" si="34"/>
        <v>37009.699999999997</v>
      </c>
      <c r="J251" s="2">
        <f t="shared" si="35"/>
        <v>572</v>
      </c>
    </row>
    <row r="252" spans="1:10" x14ac:dyDescent="0.45">
      <c r="A252" s="2" t="s">
        <v>43</v>
      </c>
      <c r="B252" s="2" t="str">
        <f t="shared" si="27"/>
        <v>Female</v>
      </c>
      <c r="C252" s="2" t="str">
        <f t="shared" si="28"/>
        <v>United States</v>
      </c>
      <c r="D252" s="2" t="str">
        <f t="shared" si="29"/>
        <v>English</v>
      </c>
      <c r="E252" s="2" t="str">
        <f t="shared" si="30"/>
        <v>Alternative</v>
      </c>
      <c r="F252" s="2" t="str">
        <f t="shared" si="31"/>
        <v>Solo</v>
      </c>
      <c r="G252" s="2">
        <f t="shared" si="32"/>
        <v>2010</v>
      </c>
      <c r="H252" s="2">
        <f t="shared" si="33"/>
        <v>42464.1</v>
      </c>
      <c r="I252" s="2">
        <f t="shared" si="34"/>
        <v>38477.300000000003</v>
      </c>
      <c r="J252" s="2">
        <f t="shared" si="35"/>
        <v>3986.8</v>
      </c>
    </row>
    <row r="253" spans="1:10" x14ac:dyDescent="0.45">
      <c r="A253" s="2" t="s">
        <v>543</v>
      </c>
      <c r="B253" s="2" t="str">
        <f t="shared" si="27"/>
        <v>Male</v>
      </c>
      <c r="C253" s="2" t="str">
        <f t="shared" si="28"/>
        <v>United States</v>
      </c>
      <c r="D253" s="2" t="str">
        <f t="shared" si="29"/>
        <v>English</v>
      </c>
      <c r="E253" s="2" t="str">
        <f t="shared" si="30"/>
        <v>Pop</v>
      </c>
      <c r="F253" s="2" t="str">
        <f t="shared" si="31"/>
        <v>Group</v>
      </c>
      <c r="G253" s="2">
        <f t="shared" si="32"/>
        <v>2014</v>
      </c>
      <c r="H253" s="2">
        <f t="shared" si="33"/>
        <v>7453.2</v>
      </c>
      <c r="I253" s="2">
        <f t="shared" si="34"/>
        <v>2524.9</v>
      </c>
      <c r="J253" s="2">
        <f t="shared" si="35"/>
        <v>4942.3999999999996</v>
      </c>
    </row>
    <row r="254" spans="1:10" x14ac:dyDescent="0.45">
      <c r="A254" s="2" t="s">
        <v>559</v>
      </c>
      <c r="B254" s="2" t="str">
        <f t="shared" si="27"/>
        <v>Female</v>
      </c>
      <c r="C254" s="2" t="str">
        <f t="shared" si="28"/>
        <v>Iceland</v>
      </c>
      <c r="D254" s="2" t="str">
        <f t="shared" si="29"/>
        <v>English</v>
      </c>
      <c r="E254" s="2" t="str">
        <f t="shared" si="30"/>
        <v>Pop</v>
      </c>
      <c r="F254" s="2" t="str">
        <f t="shared" si="31"/>
        <v>Solo</v>
      </c>
      <c r="G254" s="2">
        <f t="shared" si="32"/>
        <v>2020</v>
      </c>
      <c r="H254" s="2">
        <f t="shared" si="33"/>
        <v>7286.8</v>
      </c>
      <c r="I254" s="2">
        <f t="shared" si="34"/>
        <v>4703.7</v>
      </c>
      <c r="J254" s="2">
        <f t="shared" si="35"/>
        <v>2609.5</v>
      </c>
    </row>
    <row r="255" spans="1:10" x14ac:dyDescent="0.45">
      <c r="A255" s="2" t="s">
        <v>306</v>
      </c>
      <c r="B255" s="2" t="str">
        <f t="shared" si="27"/>
        <v>Male</v>
      </c>
      <c r="C255" s="2" t="str">
        <f t="shared" si="28"/>
        <v>United States</v>
      </c>
      <c r="D255" s="2" t="str">
        <f t="shared" si="29"/>
        <v>English</v>
      </c>
      <c r="E255" s="2" t="str">
        <f t="shared" si="30"/>
        <v>Pop</v>
      </c>
      <c r="F255" s="2" t="str">
        <f t="shared" si="31"/>
        <v>Solo</v>
      </c>
      <c r="G255" s="2">
        <f t="shared" si="32"/>
        <v>2015</v>
      </c>
      <c r="H255" s="2">
        <f t="shared" si="33"/>
        <v>11966.9</v>
      </c>
      <c r="I255" s="2">
        <f t="shared" si="34"/>
        <v>10802.2</v>
      </c>
      <c r="J255" s="2">
        <f t="shared" si="35"/>
        <v>1167.0999999999999</v>
      </c>
    </row>
    <row r="256" spans="1:10" x14ac:dyDescent="0.45">
      <c r="A256" s="2" t="s">
        <v>385</v>
      </c>
      <c r="B256" s="2" t="str">
        <f t="shared" si="27"/>
        <v>Mixed</v>
      </c>
      <c r="C256" s="2" t="str">
        <f t="shared" si="28"/>
        <v>United States</v>
      </c>
      <c r="D256" s="2" t="str">
        <f t="shared" si="29"/>
        <v>English</v>
      </c>
      <c r="E256" s="2" t="str">
        <f t="shared" si="30"/>
        <v>Soundtrack</v>
      </c>
      <c r="F256" s="2" t="str">
        <f t="shared" si="31"/>
        <v>Group</v>
      </c>
      <c r="G256" s="2">
        <f t="shared" si="32"/>
        <v>2009</v>
      </c>
      <c r="H256" s="2">
        <f t="shared" si="33"/>
        <v>10048.299999999999</v>
      </c>
      <c r="I256" s="2">
        <f t="shared" si="34"/>
        <v>3456.4</v>
      </c>
      <c r="J256" s="2">
        <f t="shared" si="35"/>
        <v>6591.9</v>
      </c>
    </row>
    <row r="257" spans="1:10" x14ac:dyDescent="0.45">
      <c r="A257" s="2" t="s">
        <v>392</v>
      </c>
      <c r="B257" s="2" t="str">
        <f t="shared" si="27"/>
        <v>Male</v>
      </c>
      <c r="C257" s="2" t="str">
        <f t="shared" si="28"/>
        <v>United Kingdom</v>
      </c>
      <c r="D257" s="2" t="str">
        <f t="shared" si="29"/>
        <v>English</v>
      </c>
      <c r="E257" s="2" t="str">
        <f t="shared" si="30"/>
        <v>Rock</v>
      </c>
      <c r="F257" s="2" t="str">
        <f t="shared" si="31"/>
        <v>Group</v>
      </c>
      <c r="G257" s="2">
        <f t="shared" si="32"/>
        <v>1969</v>
      </c>
      <c r="H257" s="2">
        <f t="shared" si="33"/>
        <v>9909.5</v>
      </c>
      <c r="I257" s="2">
        <f t="shared" si="34"/>
        <v>9912.7999999999993</v>
      </c>
      <c r="J257" s="2">
        <f t="shared" si="35"/>
        <v>0</v>
      </c>
    </row>
    <row r="258" spans="1:10" x14ac:dyDescent="0.45">
      <c r="A258" s="2" t="s">
        <v>250</v>
      </c>
      <c r="B258" s="2" t="str">
        <f t="shared" ref="B258:B321" si="36">VLOOKUP(A258,Spotify1,2,FALSE)</f>
        <v>Male</v>
      </c>
      <c r="C258" s="2" t="str">
        <f t="shared" ref="C258:C321" si="37">VLOOKUP(A258,Spotify1,3,FALSE)</f>
        <v>United States</v>
      </c>
      <c r="D258" s="2" t="str">
        <f t="shared" ref="D258:D321" si="38">VLOOKUP(A258,Spotify1,4,FALSE)</f>
        <v>Spanish</v>
      </c>
      <c r="E258" s="2" t="str">
        <f t="shared" ref="E258:E321" si="39">VLOOKUP(A258,Spotify1,5,FALSE)</f>
        <v>Reggaeton</v>
      </c>
      <c r="F258" s="2" t="str">
        <f t="shared" ref="F258:F321" si="40">VLOOKUP(A258,Spotify1,6,FALSE)</f>
        <v>Solo</v>
      </c>
      <c r="G258" s="2">
        <f t="shared" ref="G258:G321" si="41">VLOOKUP(A258,Spotify1,7,FALSE)</f>
        <v>2009</v>
      </c>
      <c r="H258" s="2">
        <f t="shared" ref="H258:H321" si="42">VLOOKUP(A258,Spotify1,8,FALSE)</f>
        <v>13994</v>
      </c>
      <c r="I258" s="2">
        <f t="shared" ref="I258:I321" si="43">VLOOKUP(A258,Spotify1,9,FALSE)</f>
        <v>944.9</v>
      </c>
      <c r="J258" s="2">
        <f t="shared" ref="J258:J321" si="44">VLOOKUP(A258,Spotify1,10,FALSE)</f>
        <v>13049.1</v>
      </c>
    </row>
    <row r="259" spans="1:10" x14ac:dyDescent="0.45">
      <c r="A259" s="2" t="s">
        <v>247</v>
      </c>
      <c r="B259" s="2" t="str">
        <f t="shared" si="36"/>
        <v>Male</v>
      </c>
      <c r="C259" s="2" t="str">
        <f t="shared" si="37"/>
        <v>Scotland</v>
      </c>
      <c r="D259" s="2" t="str">
        <f t="shared" si="38"/>
        <v>English</v>
      </c>
      <c r="E259" s="2" t="str">
        <f t="shared" si="39"/>
        <v>Pop</v>
      </c>
      <c r="F259" s="2" t="str">
        <f t="shared" si="40"/>
        <v>Solo</v>
      </c>
      <c r="G259" s="2">
        <f t="shared" si="41"/>
        <v>2017</v>
      </c>
      <c r="H259" s="2">
        <f t="shared" si="42"/>
        <v>14087.8</v>
      </c>
      <c r="I259" s="2">
        <f t="shared" si="43"/>
        <v>14091.2</v>
      </c>
      <c r="J259" s="2">
        <f t="shared" si="44"/>
        <v>0</v>
      </c>
    </row>
    <row r="260" spans="1:10" x14ac:dyDescent="0.45">
      <c r="A260" s="2" t="s">
        <v>63</v>
      </c>
      <c r="B260" s="2" t="str">
        <f t="shared" si="36"/>
        <v>Male</v>
      </c>
      <c r="C260" s="2" t="str">
        <f t="shared" si="37"/>
        <v>United States</v>
      </c>
      <c r="D260" s="2" t="str">
        <f t="shared" si="38"/>
        <v>English</v>
      </c>
      <c r="E260" s="2" t="str">
        <f t="shared" si="39"/>
        <v>Hip-Hop</v>
      </c>
      <c r="F260" s="2" t="str">
        <f t="shared" si="40"/>
        <v>Solo</v>
      </c>
      <c r="G260" s="2">
        <f t="shared" si="41"/>
        <v>2017</v>
      </c>
      <c r="H260" s="2">
        <f t="shared" si="42"/>
        <v>35931.9</v>
      </c>
      <c r="I260" s="2">
        <f t="shared" si="43"/>
        <v>18773.5</v>
      </c>
      <c r="J260" s="2">
        <f t="shared" si="44"/>
        <v>17171.5</v>
      </c>
    </row>
    <row r="261" spans="1:10" x14ac:dyDescent="0.45">
      <c r="A261" s="2" t="s">
        <v>216</v>
      </c>
      <c r="B261" s="2" t="str">
        <f t="shared" si="36"/>
        <v>Male</v>
      </c>
      <c r="C261" s="2" t="str">
        <f t="shared" si="37"/>
        <v>United States</v>
      </c>
      <c r="D261" s="2" t="str">
        <f t="shared" si="38"/>
        <v>English</v>
      </c>
      <c r="E261" s="2" t="str">
        <f t="shared" si="39"/>
        <v>Hip-Hop</v>
      </c>
      <c r="F261" s="2" t="str">
        <f t="shared" si="40"/>
        <v>Solo</v>
      </c>
      <c r="G261" s="2">
        <f t="shared" si="41"/>
        <v>2011</v>
      </c>
      <c r="H261" s="2">
        <f t="shared" si="42"/>
        <v>15329.4</v>
      </c>
      <c r="I261" s="2">
        <f t="shared" si="43"/>
        <v>6848.7</v>
      </c>
      <c r="J261" s="2">
        <f t="shared" si="44"/>
        <v>8480.7000000000007</v>
      </c>
    </row>
    <row r="262" spans="1:10" x14ac:dyDescent="0.45">
      <c r="A262" s="2" t="s">
        <v>276</v>
      </c>
      <c r="B262" s="2" t="str">
        <f t="shared" si="36"/>
        <v>Male</v>
      </c>
      <c r="C262" s="2" t="str">
        <f t="shared" si="37"/>
        <v>United States</v>
      </c>
      <c r="D262" s="2" t="str">
        <f t="shared" si="38"/>
        <v>English</v>
      </c>
      <c r="E262" s="2" t="str">
        <f t="shared" si="39"/>
        <v>Hip-Hop</v>
      </c>
      <c r="F262" s="2" t="str">
        <f t="shared" si="40"/>
        <v>Solo</v>
      </c>
      <c r="G262" s="2">
        <f t="shared" si="41"/>
        <v>2018</v>
      </c>
      <c r="H262" s="2">
        <f t="shared" si="42"/>
        <v>13039.8</v>
      </c>
      <c r="I262" s="2">
        <f t="shared" si="43"/>
        <v>12982.3</v>
      </c>
      <c r="J262" s="2">
        <f t="shared" si="44"/>
        <v>59.7</v>
      </c>
    </row>
    <row r="263" spans="1:10" x14ac:dyDescent="0.45">
      <c r="A263" s="2" t="s">
        <v>161</v>
      </c>
      <c r="B263" s="2" t="str">
        <f t="shared" si="36"/>
        <v>Male</v>
      </c>
      <c r="C263" s="2" t="str">
        <f t="shared" si="37"/>
        <v>United States</v>
      </c>
      <c r="D263" s="2" t="str">
        <f t="shared" si="38"/>
        <v>English</v>
      </c>
      <c r="E263" s="2" t="str">
        <f t="shared" si="39"/>
        <v>Hip-Hop</v>
      </c>
      <c r="F263" s="2" t="str">
        <f t="shared" si="40"/>
        <v>Solo</v>
      </c>
      <c r="G263" s="2">
        <f t="shared" si="41"/>
        <v>2014</v>
      </c>
      <c r="H263" s="2">
        <f t="shared" si="42"/>
        <v>18649.5</v>
      </c>
      <c r="I263" s="2">
        <f t="shared" si="43"/>
        <v>17855.2</v>
      </c>
      <c r="J263" s="2">
        <f t="shared" si="44"/>
        <v>801</v>
      </c>
    </row>
    <row r="264" spans="1:10" x14ac:dyDescent="0.45">
      <c r="A264" s="2" t="s">
        <v>311</v>
      </c>
      <c r="B264" s="2" t="str">
        <f t="shared" si="36"/>
        <v>Male</v>
      </c>
      <c r="C264" s="2" t="str">
        <f t="shared" si="37"/>
        <v>United States</v>
      </c>
      <c r="D264" s="2" t="str">
        <f t="shared" si="38"/>
        <v>English</v>
      </c>
      <c r="E264" s="2" t="str">
        <f t="shared" si="39"/>
        <v>Hip-Hop</v>
      </c>
      <c r="F264" s="2" t="str">
        <f t="shared" si="40"/>
        <v>Solo</v>
      </c>
      <c r="G264" s="2">
        <f t="shared" si="41"/>
        <v>2017</v>
      </c>
      <c r="H264" s="2">
        <f t="shared" si="42"/>
        <v>11783.3</v>
      </c>
      <c r="I264" s="2">
        <f t="shared" si="43"/>
        <v>10687.5</v>
      </c>
      <c r="J264" s="2">
        <f t="shared" si="44"/>
        <v>1099.4000000000001</v>
      </c>
    </row>
    <row r="265" spans="1:10" x14ac:dyDescent="0.45">
      <c r="A265" s="2" t="s">
        <v>414</v>
      </c>
      <c r="B265" s="2" t="str">
        <f t="shared" si="36"/>
        <v>Male</v>
      </c>
      <c r="C265" s="2" t="str">
        <f t="shared" si="37"/>
        <v>United States</v>
      </c>
      <c r="D265" s="2" t="str">
        <f t="shared" si="38"/>
        <v>English</v>
      </c>
      <c r="E265" s="2" t="str">
        <f t="shared" si="39"/>
        <v>Hip-Hop</v>
      </c>
      <c r="F265" s="2" t="str">
        <f t="shared" si="40"/>
        <v>Solo</v>
      </c>
      <c r="G265" s="2">
        <f t="shared" si="41"/>
        <v>2017</v>
      </c>
      <c r="H265" s="2">
        <f t="shared" si="42"/>
        <v>9314.7999999999993</v>
      </c>
      <c r="I265" s="2">
        <f t="shared" si="43"/>
        <v>5409.5</v>
      </c>
      <c r="J265" s="2">
        <f t="shared" si="44"/>
        <v>3905.3</v>
      </c>
    </row>
    <row r="266" spans="1:10" x14ac:dyDescent="0.45">
      <c r="A266" s="2" t="s">
        <v>79</v>
      </c>
      <c r="B266" s="2" t="str">
        <f t="shared" si="36"/>
        <v>Male</v>
      </c>
      <c r="C266" s="2" t="str">
        <f t="shared" si="37"/>
        <v>United States</v>
      </c>
      <c r="D266" s="2" t="str">
        <f t="shared" si="38"/>
        <v>English</v>
      </c>
      <c r="E266" s="2" t="str">
        <f t="shared" si="39"/>
        <v>Hip-Hop</v>
      </c>
      <c r="F266" s="2" t="str">
        <f t="shared" si="40"/>
        <v>Solo</v>
      </c>
      <c r="G266" s="2">
        <f t="shared" si="41"/>
        <v>2014</v>
      </c>
      <c r="H266" s="2">
        <f t="shared" si="42"/>
        <v>32115.9</v>
      </c>
      <c r="I266" s="2">
        <f t="shared" si="43"/>
        <v>21117.5</v>
      </c>
      <c r="J266" s="2">
        <f t="shared" si="44"/>
        <v>11006.6</v>
      </c>
    </row>
    <row r="267" spans="1:10" x14ac:dyDescent="0.45">
      <c r="A267" s="2" t="s">
        <v>54</v>
      </c>
      <c r="B267" s="2" t="str">
        <f t="shared" si="36"/>
        <v>Male</v>
      </c>
      <c r="C267" s="2" t="str">
        <f t="shared" si="37"/>
        <v>United States</v>
      </c>
      <c r="D267" s="2" t="str">
        <f t="shared" si="38"/>
        <v>English</v>
      </c>
      <c r="E267" s="2" t="str">
        <f t="shared" si="39"/>
        <v>Hip-Hop</v>
      </c>
      <c r="F267" s="2" t="str">
        <f t="shared" si="40"/>
        <v>Solo</v>
      </c>
      <c r="G267" s="2">
        <f t="shared" si="41"/>
        <v>1997</v>
      </c>
      <c r="H267" s="2">
        <f t="shared" si="42"/>
        <v>40148.199999999997</v>
      </c>
      <c r="I267" s="2">
        <f t="shared" si="43"/>
        <v>15870.4</v>
      </c>
      <c r="J267" s="2">
        <f t="shared" si="44"/>
        <v>24279.9</v>
      </c>
    </row>
    <row r="268" spans="1:10" x14ac:dyDescent="0.45">
      <c r="A268" s="2" t="s">
        <v>284</v>
      </c>
      <c r="B268" s="2" t="str">
        <f t="shared" si="36"/>
        <v>Male</v>
      </c>
      <c r="C268" s="2" t="str">
        <f t="shared" si="37"/>
        <v>United States</v>
      </c>
      <c r="D268" s="2" t="str">
        <f t="shared" si="38"/>
        <v>English</v>
      </c>
      <c r="E268" s="2" t="str">
        <f t="shared" si="39"/>
        <v>Hip-Hop</v>
      </c>
      <c r="F268" s="2" t="str">
        <f t="shared" si="40"/>
        <v>Solo</v>
      </c>
      <c r="G268" s="2">
        <f t="shared" si="41"/>
        <v>2015</v>
      </c>
      <c r="H268" s="2">
        <f t="shared" si="42"/>
        <v>12823.8</v>
      </c>
      <c r="I268" s="2">
        <f t="shared" si="43"/>
        <v>5535</v>
      </c>
      <c r="J268" s="2">
        <f t="shared" si="44"/>
        <v>7288.8</v>
      </c>
    </row>
    <row r="269" spans="1:10" x14ac:dyDescent="0.45">
      <c r="A269" s="2" t="s">
        <v>578</v>
      </c>
      <c r="B269" s="2" t="str">
        <f t="shared" si="36"/>
        <v>Male</v>
      </c>
      <c r="C269" s="2" t="str">
        <f t="shared" si="37"/>
        <v>United States</v>
      </c>
      <c r="D269" s="2" t="str">
        <f t="shared" si="38"/>
        <v>English</v>
      </c>
      <c r="E269" s="2" t="str">
        <f t="shared" si="39"/>
        <v>Nu Metal</v>
      </c>
      <c r="F269" s="2" t="str">
        <f t="shared" si="40"/>
        <v>Group</v>
      </c>
      <c r="G269" s="2">
        <f t="shared" si="41"/>
        <v>1997</v>
      </c>
      <c r="H269" s="2">
        <f t="shared" si="42"/>
        <v>7018.9</v>
      </c>
      <c r="I269" s="2">
        <f t="shared" si="43"/>
        <v>7018.4</v>
      </c>
      <c r="J269" s="2">
        <f t="shared" si="44"/>
        <v>5.4</v>
      </c>
    </row>
    <row r="270" spans="1:10" x14ac:dyDescent="0.45">
      <c r="A270" s="2" t="s">
        <v>74</v>
      </c>
      <c r="B270" s="2" t="str">
        <f t="shared" si="36"/>
        <v>Mixed</v>
      </c>
      <c r="C270" s="2" t="str">
        <f t="shared" si="37"/>
        <v>United States</v>
      </c>
      <c r="D270" s="2" t="str">
        <f t="shared" si="38"/>
        <v>English</v>
      </c>
      <c r="E270" s="2" t="str">
        <f t="shared" si="39"/>
        <v>Rock</v>
      </c>
      <c r="F270" s="2" t="str">
        <f t="shared" si="40"/>
        <v>Group</v>
      </c>
      <c r="G270" s="2">
        <f t="shared" si="41"/>
        <v>2000</v>
      </c>
      <c r="H270" s="2">
        <f t="shared" si="42"/>
        <v>33224.699999999997</v>
      </c>
      <c r="I270" s="2">
        <f t="shared" si="43"/>
        <v>31426.6</v>
      </c>
      <c r="J270" s="2">
        <f t="shared" si="44"/>
        <v>1798.1</v>
      </c>
    </row>
    <row r="271" spans="1:10" x14ac:dyDescent="0.45">
      <c r="A271" s="2" t="s">
        <v>341</v>
      </c>
      <c r="B271" s="2" t="str">
        <f t="shared" si="36"/>
        <v>Female</v>
      </c>
      <c r="C271" s="2" t="str">
        <f t="shared" si="37"/>
        <v>United Kingdom</v>
      </c>
      <c r="D271" s="2" t="str">
        <f t="shared" si="38"/>
        <v>English</v>
      </c>
      <c r="E271" s="2" t="str">
        <f t="shared" si="39"/>
        <v>Pop</v>
      </c>
      <c r="F271" s="2" t="str">
        <f t="shared" si="40"/>
        <v>Group</v>
      </c>
      <c r="G271" s="2">
        <f t="shared" si="41"/>
        <v>2011</v>
      </c>
      <c r="H271" s="2">
        <f t="shared" si="42"/>
        <v>10985.7</v>
      </c>
      <c r="I271" s="2">
        <f t="shared" si="43"/>
        <v>0</v>
      </c>
      <c r="J271" s="2">
        <f t="shared" si="44"/>
        <v>11024.9</v>
      </c>
    </row>
    <row r="272" spans="1:10" x14ac:dyDescent="0.45">
      <c r="A272" s="2" t="s">
        <v>279</v>
      </c>
      <c r="B272" s="2" t="str">
        <f t="shared" si="36"/>
        <v>Male</v>
      </c>
      <c r="C272" s="2" t="str">
        <f t="shared" si="37"/>
        <v>United States</v>
      </c>
      <c r="D272" s="2" t="str">
        <f t="shared" si="38"/>
        <v>English</v>
      </c>
      <c r="E272" s="2" t="str">
        <f t="shared" si="39"/>
        <v>Hip-Hop</v>
      </c>
      <c r="F272" s="2" t="str">
        <f t="shared" si="40"/>
        <v>Solo</v>
      </c>
      <c r="G272" s="2">
        <f t="shared" si="41"/>
        <v>2009</v>
      </c>
      <c r="H272" s="2">
        <f t="shared" si="42"/>
        <v>12994.4</v>
      </c>
      <c r="I272" s="2">
        <f t="shared" si="43"/>
        <v>12999.7</v>
      </c>
      <c r="J272" s="2">
        <f t="shared" si="44"/>
        <v>0</v>
      </c>
    </row>
    <row r="273" spans="1:10" x14ac:dyDescent="0.45">
      <c r="A273" s="2" t="s">
        <v>312</v>
      </c>
      <c r="B273" s="2" t="str">
        <f t="shared" si="36"/>
        <v>Female</v>
      </c>
      <c r="C273" s="2" t="str">
        <f t="shared" si="37"/>
        <v>New Zealand</v>
      </c>
      <c r="D273" s="2" t="str">
        <f t="shared" si="38"/>
        <v>English</v>
      </c>
      <c r="E273" s="2" t="str">
        <f t="shared" si="39"/>
        <v>Pop</v>
      </c>
      <c r="F273" s="2" t="str">
        <f t="shared" si="40"/>
        <v>Solo</v>
      </c>
      <c r="G273" s="2">
        <f t="shared" si="41"/>
        <v>2012</v>
      </c>
      <c r="H273" s="2">
        <f t="shared" si="42"/>
        <v>11721</v>
      </c>
      <c r="I273" s="2">
        <f t="shared" si="43"/>
        <v>11036</v>
      </c>
      <c r="J273" s="2">
        <f t="shared" si="44"/>
        <v>689</v>
      </c>
    </row>
    <row r="274" spans="1:10" x14ac:dyDescent="0.45">
      <c r="A274" s="2" t="s">
        <v>513</v>
      </c>
      <c r="B274" s="2" t="str">
        <f t="shared" si="36"/>
        <v>Mixed</v>
      </c>
      <c r="C274" s="2" t="str">
        <f t="shared" si="37"/>
        <v>Mexico</v>
      </c>
      <c r="D274" s="2" t="str">
        <f t="shared" si="38"/>
        <v>Spanish</v>
      </c>
      <c r="E274" s="2" t="str">
        <f t="shared" si="39"/>
        <v>Latin</v>
      </c>
      <c r="F274" s="2" t="str">
        <f t="shared" si="40"/>
        <v>Group</v>
      </c>
      <c r="G274" s="2">
        <f t="shared" si="41"/>
        <v>1982</v>
      </c>
      <c r="H274" s="2">
        <f t="shared" si="42"/>
        <v>7838.9</v>
      </c>
      <c r="I274" s="2">
        <f t="shared" si="43"/>
        <v>7528</v>
      </c>
      <c r="J274" s="2">
        <f t="shared" si="44"/>
        <v>310.89999999999998</v>
      </c>
    </row>
    <row r="275" spans="1:10" x14ac:dyDescent="0.45">
      <c r="A275" s="2" t="s">
        <v>574</v>
      </c>
      <c r="B275" s="2" t="str">
        <f t="shared" si="36"/>
        <v>Male</v>
      </c>
      <c r="C275" s="2" t="str">
        <f t="shared" si="37"/>
        <v>Mexico</v>
      </c>
      <c r="D275" s="2" t="str">
        <f t="shared" si="38"/>
        <v>Spanish</v>
      </c>
      <c r="E275" s="2" t="str">
        <f t="shared" si="39"/>
        <v>Latin</v>
      </c>
      <c r="F275" s="2" t="str">
        <f t="shared" si="40"/>
        <v>Group</v>
      </c>
      <c r="G275" s="2">
        <f t="shared" si="41"/>
        <v>1977</v>
      </c>
      <c r="H275" s="2">
        <f t="shared" si="42"/>
        <v>7059.2</v>
      </c>
      <c r="I275" s="2">
        <f t="shared" si="43"/>
        <v>6607.2</v>
      </c>
      <c r="J275" s="2">
        <f t="shared" si="44"/>
        <v>446.9</v>
      </c>
    </row>
    <row r="276" spans="1:10" x14ac:dyDescent="0.45">
      <c r="A276" s="2" t="s">
        <v>447</v>
      </c>
      <c r="B276" s="2" t="str">
        <f t="shared" si="36"/>
        <v>Male</v>
      </c>
      <c r="C276" s="2" t="str">
        <f t="shared" si="37"/>
        <v>Belgium</v>
      </c>
      <c r="D276" s="2" t="str">
        <f t="shared" si="38"/>
        <v>English</v>
      </c>
      <c r="E276" s="2" t="str">
        <f t="shared" si="39"/>
        <v>EDM</v>
      </c>
      <c r="F276" s="2" t="str">
        <f t="shared" si="40"/>
        <v>Solo</v>
      </c>
      <c r="G276" s="2">
        <f t="shared" si="41"/>
        <v>2014</v>
      </c>
      <c r="H276" s="2">
        <f t="shared" si="42"/>
        <v>8699.2000000000007</v>
      </c>
      <c r="I276" s="2">
        <f t="shared" si="43"/>
        <v>8316.2000000000007</v>
      </c>
      <c r="J276" s="2">
        <f t="shared" si="44"/>
        <v>386.2</v>
      </c>
    </row>
    <row r="277" spans="1:10" x14ac:dyDescent="0.45">
      <c r="A277" s="2" t="s">
        <v>547</v>
      </c>
      <c r="B277" s="2" t="str">
        <f t="shared" si="36"/>
        <v>Male</v>
      </c>
      <c r="C277" s="2" t="str">
        <f t="shared" si="37"/>
        <v>Brazil</v>
      </c>
      <c r="D277" s="2" t="str">
        <f t="shared" si="38"/>
        <v>Portuguese</v>
      </c>
      <c r="E277" s="2" t="str">
        <f t="shared" si="39"/>
        <v>Sertanjeo</v>
      </c>
      <c r="F277" s="2" t="str">
        <f t="shared" si="40"/>
        <v>Solo</v>
      </c>
      <c r="G277" s="2">
        <f t="shared" si="41"/>
        <v>2009</v>
      </c>
      <c r="H277" s="2">
        <f t="shared" si="42"/>
        <v>7416.8</v>
      </c>
      <c r="I277" s="2">
        <f t="shared" si="43"/>
        <v>4668.1000000000004</v>
      </c>
      <c r="J277" s="2">
        <f t="shared" si="44"/>
        <v>2767</v>
      </c>
    </row>
    <row r="278" spans="1:10" x14ac:dyDescent="0.45">
      <c r="A278" s="2" t="s">
        <v>370</v>
      </c>
      <c r="B278" s="2" t="str">
        <f t="shared" si="36"/>
        <v>Male</v>
      </c>
      <c r="C278" s="2" t="str">
        <f t="shared" si="37"/>
        <v>United States</v>
      </c>
      <c r="D278" s="2" t="str">
        <f t="shared" si="38"/>
        <v>English</v>
      </c>
      <c r="E278" s="2" t="str">
        <f t="shared" si="39"/>
        <v>Hip-Hop</v>
      </c>
      <c r="F278" s="2" t="str">
        <f t="shared" si="40"/>
        <v>Solo</v>
      </c>
      <c r="G278" s="2">
        <f t="shared" si="41"/>
        <v>1999</v>
      </c>
      <c r="H278" s="2">
        <f t="shared" si="42"/>
        <v>10293</v>
      </c>
      <c r="I278" s="2">
        <f t="shared" si="43"/>
        <v>6016.2</v>
      </c>
      <c r="J278" s="2">
        <f t="shared" si="44"/>
        <v>4284.3</v>
      </c>
    </row>
    <row r="279" spans="1:10" x14ac:dyDescent="0.45">
      <c r="A279" s="2" t="s">
        <v>397</v>
      </c>
      <c r="B279" s="2" t="str">
        <f t="shared" si="36"/>
        <v>Male</v>
      </c>
      <c r="C279" s="2" t="str">
        <f t="shared" si="37"/>
        <v>United States</v>
      </c>
      <c r="D279" s="2" t="str">
        <f t="shared" si="38"/>
        <v>Spanish</v>
      </c>
      <c r="E279" s="2" t="str">
        <f t="shared" si="39"/>
        <v>Latin</v>
      </c>
      <c r="F279" s="2" t="str">
        <f t="shared" si="40"/>
        <v>Solo</v>
      </c>
      <c r="G279" s="2">
        <f t="shared" si="41"/>
        <v>1998</v>
      </c>
      <c r="H279" s="2">
        <f t="shared" si="42"/>
        <v>9862.6</v>
      </c>
      <c r="I279" s="2">
        <f t="shared" si="43"/>
        <v>4889.8</v>
      </c>
      <c r="J279" s="2">
        <f t="shared" si="44"/>
        <v>4976.3999999999996</v>
      </c>
    </row>
    <row r="280" spans="1:10" x14ac:dyDescent="0.45">
      <c r="A280" s="2" t="s">
        <v>180</v>
      </c>
      <c r="B280" s="2" t="str">
        <f t="shared" si="36"/>
        <v>Male</v>
      </c>
      <c r="C280" s="2" t="str">
        <f t="shared" si="37"/>
        <v>Mexico</v>
      </c>
      <c r="D280" s="2" t="str">
        <f t="shared" si="38"/>
        <v>Spanish</v>
      </c>
      <c r="E280" s="2" t="str">
        <f t="shared" si="39"/>
        <v>Latin</v>
      </c>
      <c r="F280" s="2" t="str">
        <f t="shared" si="40"/>
        <v>Solo</v>
      </c>
      <c r="G280" s="2">
        <f t="shared" si="41"/>
        <v>1982</v>
      </c>
      <c r="H280" s="2">
        <f t="shared" si="42"/>
        <v>17314.099999999999</v>
      </c>
      <c r="I280" s="2">
        <f t="shared" si="43"/>
        <v>17301.5</v>
      </c>
      <c r="J280" s="2">
        <f t="shared" si="44"/>
        <v>20</v>
      </c>
    </row>
    <row r="281" spans="1:10" x14ac:dyDescent="0.45">
      <c r="A281" s="2" t="s">
        <v>285</v>
      </c>
      <c r="B281" s="2" t="str">
        <f t="shared" si="36"/>
        <v>Male</v>
      </c>
      <c r="C281" s="2" t="str">
        <f t="shared" si="37"/>
        <v>Mexico</v>
      </c>
      <c r="D281" s="2" t="str">
        <f t="shared" si="38"/>
        <v>Spanish</v>
      </c>
      <c r="E281" s="2" t="str">
        <f t="shared" si="39"/>
        <v>Regional Mexican</v>
      </c>
      <c r="F281" s="2" t="str">
        <f t="shared" si="40"/>
        <v>Solo</v>
      </c>
      <c r="G281" s="2">
        <f t="shared" si="41"/>
        <v>2018</v>
      </c>
      <c r="H281" s="2">
        <f t="shared" si="42"/>
        <v>12810.9</v>
      </c>
      <c r="I281" s="2">
        <f t="shared" si="43"/>
        <v>6582.9</v>
      </c>
      <c r="J281" s="2">
        <f t="shared" si="44"/>
        <v>6236.2</v>
      </c>
    </row>
    <row r="282" spans="1:10" x14ac:dyDescent="0.45">
      <c r="A282" s="2" t="s">
        <v>417</v>
      </c>
      <c r="B282" s="2" t="str">
        <f t="shared" si="36"/>
        <v>Male</v>
      </c>
      <c r="C282" s="2" t="str">
        <f t="shared" si="37"/>
        <v>United States</v>
      </c>
      <c r="D282" s="2" t="str">
        <f t="shared" si="38"/>
        <v>English</v>
      </c>
      <c r="E282" s="2" t="str">
        <f t="shared" si="39"/>
        <v>Country</v>
      </c>
      <c r="F282" s="2" t="str">
        <f t="shared" si="40"/>
        <v>Solo</v>
      </c>
      <c r="G282" s="2">
        <f t="shared" si="41"/>
        <v>2007</v>
      </c>
      <c r="H282" s="2">
        <f t="shared" si="42"/>
        <v>9213.5</v>
      </c>
      <c r="I282" s="2">
        <f t="shared" si="43"/>
        <v>9212.7000000000007</v>
      </c>
      <c r="J282" s="2">
        <f t="shared" si="44"/>
        <v>8.3000000000000007</v>
      </c>
    </row>
    <row r="283" spans="1:10" x14ac:dyDescent="0.45">
      <c r="A283" s="2" t="s">
        <v>156</v>
      </c>
      <c r="B283" s="2" t="str">
        <f t="shared" si="36"/>
        <v>Male</v>
      </c>
      <c r="C283" s="2" t="str">
        <f t="shared" si="37"/>
        <v>United States</v>
      </c>
      <c r="D283" s="2" t="str">
        <f t="shared" si="38"/>
        <v>English</v>
      </c>
      <c r="E283" s="2" t="str">
        <f t="shared" si="39"/>
        <v>Country</v>
      </c>
      <c r="F283" s="2" t="str">
        <f t="shared" si="40"/>
        <v>Solo</v>
      </c>
      <c r="G283" s="2">
        <f t="shared" si="41"/>
        <v>2014</v>
      </c>
      <c r="H283" s="2">
        <f t="shared" si="42"/>
        <v>19101.599999999999</v>
      </c>
      <c r="I283" s="2">
        <f t="shared" si="43"/>
        <v>17465.400000000001</v>
      </c>
      <c r="J283" s="2">
        <f t="shared" si="44"/>
        <v>1647.2</v>
      </c>
    </row>
    <row r="284" spans="1:10" x14ac:dyDescent="0.45">
      <c r="A284" s="2" t="s">
        <v>386</v>
      </c>
      <c r="B284" s="2" t="str">
        <f t="shared" si="36"/>
        <v>Male</v>
      </c>
      <c r="C284" s="2" t="str">
        <f t="shared" si="37"/>
        <v>Canada</v>
      </c>
      <c r="D284" s="2" t="str">
        <f t="shared" si="38"/>
        <v>English</v>
      </c>
      <c r="E284" s="2" t="str">
        <f t="shared" si="39"/>
        <v>Rock</v>
      </c>
      <c r="F284" s="2" t="str">
        <f t="shared" si="40"/>
        <v>Solo</v>
      </c>
      <c r="G284" s="2">
        <f t="shared" si="41"/>
        <v>2012</v>
      </c>
      <c r="H284" s="2">
        <f t="shared" si="42"/>
        <v>9970.2000000000007</v>
      </c>
      <c r="I284" s="2">
        <f t="shared" si="43"/>
        <v>9813.7000000000007</v>
      </c>
      <c r="J284" s="2">
        <f t="shared" si="44"/>
        <v>161.5</v>
      </c>
    </row>
    <row r="285" spans="1:10" x14ac:dyDescent="0.45">
      <c r="A285" s="2" t="s">
        <v>142</v>
      </c>
      <c r="B285" s="2" t="str">
        <f t="shared" si="36"/>
        <v>Male</v>
      </c>
      <c r="C285" s="2" t="str">
        <f t="shared" si="37"/>
        <v>United States</v>
      </c>
      <c r="D285" s="2" t="str">
        <f t="shared" si="38"/>
        <v>English</v>
      </c>
      <c r="E285" s="2" t="str">
        <f t="shared" si="39"/>
        <v>Hip-Hop</v>
      </c>
      <c r="F285" s="2" t="str">
        <f t="shared" si="40"/>
        <v>Solo</v>
      </c>
      <c r="G285" s="2">
        <f t="shared" si="41"/>
        <v>2007</v>
      </c>
      <c r="H285" s="2">
        <f t="shared" si="42"/>
        <v>20091.099999999999</v>
      </c>
      <c r="I285" s="2">
        <f t="shared" si="43"/>
        <v>18765.5</v>
      </c>
      <c r="J285" s="2">
        <f t="shared" si="44"/>
        <v>1328</v>
      </c>
    </row>
    <row r="286" spans="1:10" x14ac:dyDescent="0.45">
      <c r="A286" s="2" t="s">
        <v>294</v>
      </c>
      <c r="B286" s="2" t="str">
        <f t="shared" si="36"/>
        <v>Male</v>
      </c>
      <c r="C286" s="2" t="str">
        <f t="shared" si="37"/>
        <v>United States</v>
      </c>
      <c r="D286" s="2" t="str">
        <f t="shared" si="38"/>
        <v>English</v>
      </c>
      <c r="E286" s="2" t="str">
        <f t="shared" si="39"/>
        <v>Hip-Hop</v>
      </c>
      <c r="F286" s="2" t="str">
        <f t="shared" si="40"/>
        <v>Solo</v>
      </c>
      <c r="G286" s="2">
        <f t="shared" si="41"/>
        <v>2000</v>
      </c>
      <c r="H286" s="2">
        <f t="shared" si="42"/>
        <v>12593.2</v>
      </c>
      <c r="I286" s="2">
        <f t="shared" si="43"/>
        <v>6266</v>
      </c>
      <c r="J286" s="2">
        <f t="shared" si="44"/>
        <v>6330.7</v>
      </c>
    </row>
    <row r="287" spans="1:10" x14ac:dyDescent="0.45">
      <c r="A287" s="2" t="s">
        <v>553</v>
      </c>
      <c r="B287" s="2" t="str">
        <f t="shared" si="36"/>
        <v>Mixed</v>
      </c>
      <c r="C287" s="2" t="str">
        <f t="shared" si="37"/>
        <v>United States</v>
      </c>
      <c r="D287" s="2" t="str">
        <f t="shared" si="38"/>
        <v>English</v>
      </c>
      <c r="E287" s="2" t="str">
        <f t="shared" si="39"/>
        <v>Hip-Hop</v>
      </c>
      <c r="F287" s="2" t="str">
        <f t="shared" si="40"/>
        <v>Group</v>
      </c>
      <c r="G287" s="2">
        <f t="shared" si="41"/>
        <v>2009</v>
      </c>
      <c r="H287" s="2">
        <f t="shared" si="42"/>
        <v>7347.9</v>
      </c>
      <c r="I287" s="2">
        <f t="shared" si="43"/>
        <v>6711.8</v>
      </c>
      <c r="J287" s="2">
        <f t="shared" si="44"/>
        <v>643.70000000000005</v>
      </c>
    </row>
    <row r="288" spans="1:10" x14ac:dyDescent="0.45">
      <c r="A288" s="2" t="s">
        <v>307</v>
      </c>
      <c r="B288" s="2" t="str">
        <f t="shared" si="36"/>
        <v>Female</v>
      </c>
      <c r="C288" s="2" t="str">
        <f t="shared" si="37"/>
        <v>United States</v>
      </c>
      <c r="D288" s="2" t="str">
        <f t="shared" si="38"/>
        <v>English</v>
      </c>
      <c r="E288" s="2" t="str">
        <f t="shared" si="39"/>
        <v>Pop</v>
      </c>
      <c r="F288" s="2" t="str">
        <f t="shared" si="40"/>
        <v>Solo</v>
      </c>
      <c r="G288" s="2">
        <f t="shared" si="41"/>
        <v>1982</v>
      </c>
      <c r="H288" s="2">
        <f t="shared" si="42"/>
        <v>11879.6</v>
      </c>
      <c r="I288" s="2">
        <f t="shared" si="43"/>
        <v>10122.700000000001</v>
      </c>
      <c r="J288" s="2">
        <f t="shared" si="44"/>
        <v>1768.2</v>
      </c>
    </row>
    <row r="289" spans="1:10" x14ac:dyDescent="0.45">
      <c r="A289" s="2" t="s">
        <v>564</v>
      </c>
      <c r="B289" s="2" t="str">
        <f t="shared" si="36"/>
        <v>Female</v>
      </c>
      <c r="C289" s="2" t="str">
        <f t="shared" si="37"/>
        <v>Italy</v>
      </c>
      <c r="D289" s="2" t="str">
        <f t="shared" si="38"/>
        <v>Italian</v>
      </c>
      <c r="E289" s="2" t="str">
        <f t="shared" si="39"/>
        <v>Pop</v>
      </c>
      <c r="F289" s="2" t="str">
        <f t="shared" si="40"/>
        <v>Solo</v>
      </c>
      <c r="G289" s="2">
        <f t="shared" si="41"/>
        <v>1997</v>
      </c>
      <c r="H289" s="2">
        <f t="shared" si="42"/>
        <v>7239.7</v>
      </c>
      <c r="I289" s="2">
        <f t="shared" si="43"/>
        <v>0</v>
      </c>
      <c r="J289" s="2">
        <f t="shared" si="44"/>
        <v>7239.7</v>
      </c>
    </row>
    <row r="290" spans="1:10" x14ac:dyDescent="0.45">
      <c r="A290" s="2" t="s">
        <v>549</v>
      </c>
      <c r="B290" s="2" t="str">
        <f t="shared" si="36"/>
        <v>Female</v>
      </c>
      <c r="C290" s="2" t="str">
        <f t="shared" si="37"/>
        <v>Brazil</v>
      </c>
      <c r="D290" s="2" t="str">
        <f t="shared" si="38"/>
        <v>Portuguese</v>
      </c>
      <c r="E290" s="2" t="str">
        <f t="shared" si="39"/>
        <v>Sertanjeo</v>
      </c>
      <c r="F290" s="2" t="str">
        <f t="shared" si="40"/>
        <v>Group</v>
      </c>
      <c r="G290" s="2">
        <f t="shared" si="41"/>
        <v>2013</v>
      </c>
      <c r="H290" s="2">
        <f t="shared" si="42"/>
        <v>7388.4</v>
      </c>
      <c r="I290" s="2">
        <f t="shared" si="43"/>
        <v>3471.7</v>
      </c>
      <c r="J290" s="2">
        <f t="shared" si="44"/>
        <v>3933.9</v>
      </c>
    </row>
    <row r="291" spans="1:10" x14ac:dyDescent="0.45">
      <c r="A291" s="2" t="s">
        <v>273</v>
      </c>
      <c r="B291" s="2" t="str">
        <f t="shared" si="36"/>
        <v>Mixed</v>
      </c>
      <c r="C291" s="2" t="str">
        <f t="shared" si="37"/>
        <v>United States</v>
      </c>
      <c r="D291" s="2" t="str">
        <f t="shared" si="38"/>
        <v>English</v>
      </c>
      <c r="E291" s="2" t="str">
        <f t="shared" si="39"/>
        <v>EDM</v>
      </c>
      <c r="F291" s="2" t="str">
        <f t="shared" si="40"/>
        <v>Group</v>
      </c>
      <c r="G291" s="2">
        <f t="shared" si="41"/>
        <v>2009</v>
      </c>
      <c r="H291" s="2">
        <f t="shared" si="42"/>
        <v>13220.4</v>
      </c>
      <c r="I291" s="2">
        <f t="shared" si="43"/>
        <v>11619.7</v>
      </c>
      <c r="J291" s="2">
        <f t="shared" si="44"/>
        <v>1604</v>
      </c>
    </row>
    <row r="292" spans="1:10" x14ac:dyDescent="0.45">
      <c r="A292" s="2" t="s">
        <v>68</v>
      </c>
      <c r="B292" s="2" t="str">
        <f t="shared" si="36"/>
        <v>Male</v>
      </c>
      <c r="C292" s="2" t="str">
        <f t="shared" si="37"/>
        <v>Colombia</v>
      </c>
      <c r="D292" s="2" t="str">
        <f t="shared" si="38"/>
        <v>Spanish</v>
      </c>
      <c r="E292" s="2" t="str">
        <f t="shared" si="39"/>
        <v>Latin</v>
      </c>
      <c r="F292" s="2" t="str">
        <f t="shared" si="40"/>
        <v>Solo</v>
      </c>
      <c r="G292" s="2">
        <f t="shared" si="41"/>
        <v>2010</v>
      </c>
      <c r="H292" s="2">
        <f t="shared" si="42"/>
        <v>34841</v>
      </c>
      <c r="I292" s="2">
        <f t="shared" si="43"/>
        <v>19449.8</v>
      </c>
      <c r="J292" s="2">
        <f t="shared" si="44"/>
        <v>15404.7</v>
      </c>
    </row>
    <row r="293" spans="1:10" x14ac:dyDescent="0.45">
      <c r="A293" s="2" t="s">
        <v>462</v>
      </c>
      <c r="B293" s="2" t="str">
        <f t="shared" si="36"/>
        <v>Male</v>
      </c>
      <c r="C293" s="2" t="str">
        <f t="shared" si="37"/>
        <v>United States</v>
      </c>
      <c r="D293" s="2" t="str">
        <f t="shared" si="38"/>
        <v>Spanish</v>
      </c>
      <c r="E293" s="2" t="str">
        <f t="shared" si="39"/>
        <v>Reggaeton</v>
      </c>
      <c r="F293" s="2" t="str">
        <f t="shared" si="40"/>
        <v>Group</v>
      </c>
      <c r="G293" s="2">
        <f t="shared" si="41"/>
        <v>2004</v>
      </c>
      <c r="H293" s="2">
        <f t="shared" si="42"/>
        <v>8457.4</v>
      </c>
      <c r="I293" s="2">
        <f t="shared" si="43"/>
        <v>369.6</v>
      </c>
      <c r="J293" s="2">
        <f t="shared" si="44"/>
        <v>8087.7</v>
      </c>
    </row>
    <row r="294" spans="1:10" x14ac:dyDescent="0.45">
      <c r="A294" s="2" t="s">
        <v>391</v>
      </c>
      <c r="B294" s="2" t="str">
        <f t="shared" si="36"/>
        <v>Mixed</v>
      </c>
      <c r="C294" s="2" t="str">
        <f t="shared" si="37"/>
        <v>Mexico</v>
      </c>
      <c r="D294" s="2" t="str">
        <f t="shared" si="38"/>
        <v>Spanish</v>
      </c>
      <c r="E294" s="2" t="str">
        <f t="shared" si="39"/>
        <v>Rock</v>
      </c>
      <c r="F294" s="2" t="str">
        <f t="shared" si="40"/>
        <v>Group</v>
      </c>
      <c r="G294" s="2">
        <f t="shared" si="41"/>
        <v>1987</v>
      </c>
      <c r="H294" s="2">
        <f t="shared" si="42"/>
        <v>9914.4</v>
      </c>
      <c r="I294" s="2">
        <f t="shared" si="43"/>
        <v>9921.1</v>
      </c>
      <c r="J294" s="2">
        <f t="shared" si="44"/>
        <v>6.1</v>
      </c>
    </row>
    <row r="295" spans="1:10" x14ac:dyDescent="0.45">
      <c r="A295" s="2" t="s">
        <v>393</v>
      </c>
      <c r="B295" s="2" t="str">
        <f t="shared" si="36"/>
        <v>Mixed</v>
      </c>
      <c r="C295" s="2" t="str">
        <f t="shared" si="37"/>
        <v>Italy</v>
      </c>
      <c r="D295" s="2" t="str">
        <f t="shared" si="38"/>
        <v>Italian</v>
      </c>
      <c r="E295" s="2" t="str">
        <f t="shared" si="39"/>
        <v>Rock</v>
      </c>
      <c r="F295" s="2" t="str">
        <f t="shared" si="40"/>
        <v>Group</v>
      </c>
      <c r="G295" s="2">
        <f t="shared" si="41"/>
        <v>2017</v>
      </c>
      <c r="H295" s="2">
        <f t="shared" si="42"/>
        <v>9899.4</v>
      </c>
      <c r="I295" s="2">
        <f t="shared" si="43"/>
        <v>9883</v>
      </c>
      <c r="J295" s="2">
        <f t="shared" si="44"/>
        <v>20.100000000000001</v>
      </c>
    </row>
    <row r="296" spans="1:10" x14ac:dyDescent="0.45">
      <c r="A296" s="2" t="s">
        <v>158</v>
      </c>
      <c r="B296" s="2" t="str">
        <f t="shared" si="36"/>
        <v>Male</v>
      </c>
      <c r="C296" s="2" t="str">
        <f t="shared" si="37"/>
        <v>Colombia</v>
      </c>
      <c r="D296" s="2" t="str">
        <f t="shared" si="38"/>
        <v>Spanish</v>
      </c>
      <c r="E296" s="2" t="str">
        <f t="shared" si="39"/>
        <v>Latin</v>
      </c>
      <c r="F296" s="2" t="str">
        <f t="shared" si="40"/>
        <v>Solo</v>
      </c>
      <c r="G296" s="2">
        <f t="shared" si="41"/>
        <v>2016</v>
      </c>
      <c r="H296" s="2">
        <f t="shared" si="42"/>
        <v>18912.7</v>
      </c>
      <c r="I296" s="2">
        <f t="shared" si="43"/>
        <v>8490.9</v>
      </c>
      <c r="J296" s="2">
        <f t="shared" si="44"/>
        <v>10429.4</v>
      </c>
    </row>
    <row r="297" spans="1:10" x14ac:dyDescent="0.45">
      <c r="A297" s="2" t="s">
        <v>390</v>
      </c>
      <c r="B297" s="2" t="str">
        <f t="shared" si="36"/>
        <v>Male</v>
      </c>
      <c r="C297" s="2" t="str">
        <f t="shared" si="37"/>
        <v>United States</v>
      </c>
      <c r="D297" s="2" t="str">
        <f t="shared" si="38"/>
        <v>Spanish</v>
      </c>
      <c r="E297" s="2" t="str">
        <f t="shared" si="39"/>
        <v>Latin</v>
      </c>
      <c r="F297" s="2" t="str">
        <f t="shared" si="40"/>
        <v>Solo</v>
      </c>
      <c r="G297" s="2">
        <f t="shared" si="41"/>
        <v>1988</v>
      </c>
      <c r="H297" s="2">
        <f t="shared" si="42"/>
        <v>9914.5</v>
      </c>
      <c r="I297" s="2">
        <f t="shared" si="43"/>
        <v>6239</v>
      </c>
      <c r="J297" s="2">
        <f t="shared" si="44"/>
        <v>3689.5</v>
      </c>
    </row>
    <row r="298" spans="1:10" x14ac:dyDescent="0.45">
      <c r="A298" s="2" t="s">
        <v>363</v>
      </c>
      <c r="B298" s="2" t="str">
        <f t="shared" si="36"/>
        <v>Female</v>
      </c>
      <c r="C298" s="2" t="str">
        <f t="shared" si="37"/>
        <v>Argentina</v>
      </c>
      <c r="D298" s="2" t="str">
        <f t="shared" si="38"/>
        <v>Spanish</v>
      </c>
      <c r="E298" s="2" t="str">
        <f t="shared" si="39"/>
        <v>Latin</v>
      </c>
      <c r="F298" s="2" t="str">
        <f t="shared" si="40"/>
        <v>Solo</v>
      </c>
      <c r="G298" s="2">
        <f t="shared" si="41"/>
        <v>2019</v>
      </c>
      <c r="H298" s="2">
        <f t="shared" si="42"/>
        <v>10476.9</v>
      </c>
      <c r="I298" s="2">
        <f t="shared" si="43"/>
        <v>3977.8</v>
      </c>
      <c r="J298" s="2">
        <f t="shared" si="44"/>
        <v>6499.1</v>
      </c>
    </row>
    <row r="299" spans="1:10" x14ac:dyDescent="0.45">
      <c r="A299" s="2" t="s">
        <v>257</v>
      </c>
      <c r="B299" s="2" t="str">
        <f t="shared" si="36"/>
        <v>Female</v>
      </c>
      <c r="C299" s="2" t="str">
        <f t="shared" si="37"/>
        <v>United States</v>
      </c>
      <c r="D299" s="2" t="str">
        <f t="shared" si="38"/>
        <v>English</v>
      </c>
      <c r="E299" s="2" t="str">
        <f t="shared" si="39"/>
        <v>Pop</v>
      </c>
      <c r="F299" s="2" t="str">
        <f t="shared" si="40"/>
        <v>Solo</v>
      </c>
      <c r="G299" s="2">
        <f t="shared" si="41"/>
        <v>1990</v>
      </c>
      <c r="H299" s="2">
        <f t="shared" si="42"/>
        <v>13650.2</v>
      </c>
      <c r="I299" s="2">
        <f t="shared" si="43"/>
        <v>12396.8</v>
      </c>
      <c r="J299" s="2">
        <f t="shared" si="44"/>
        <v>1258.3</v>
      </c>
    </row>
    <row r="300" spans="1:10" x14ac:dyDescent="0.45">
      <c r="A300" s="2" t="s">
        <v>213</v>
      </c>
      <c r="B300" s="2" t="str">
        <f t="shared" si="36"/>
        <v>Female</v>
      </c>
      <c r="C300" s="2" t="str">
        <f t="shared" si="37"/>
        <v>Brazil</v>
      </c>
      <c r="D300" s="2" t="str">
        <f t="shared" si="38"/>
        <v>Portuguese</v>
      </c>
      <c r="E300" s="2" t="str">
        <f t="shared" si="39"/>
        <v>Sertanjeo</v>
      </c>
      <c r="F300" s="2" t="str">
        <f t="shared" si="40"/>
        <v>Solo</v>
      </c>
      <c r="G300" s="2">
        <f t="shared" si="41"/>
        <v>2011</v>
      </c>
      <c r="H300" s="2">
        <f t="shared" si="42"/>
        <v>15528.2</v>
      </c>
      <c r="I300" s="2">
        <f t="shared" si="43"/>
        <v>7743.7</v>
      </c>
      <c r="J300" s="2">
        <f t="shared" si="44"/>
        <v>7783.6</v>
      </c>
    </row>
    <row r="301" spans="1:10" x14ac:dyDescent="0.45">
      <c r="A301" s="2" t="s">
        <v>470</v>
      </c>
      <c r="B301" s="2" t="str">
        <f t="shared" si="36"/>
        <v>Male</v>
      </c>
      <c r="C301" s="2" t="str">
        <f t="shared" si="37"/>
        <v>United Kingdom</v>
      </c>
      <c r="D301" s="2" t="str">
        <f t="shared" si="38"/>
        <v>English</v>
      </c>
      <c r="E301" s="2" t="str">
        <f t="shared" si="39"/>
        <v>Pop</v>
      </c>
      <c r="F301" s="2" t="str">
        <f t="shared" si="40"/>
        <v>Solo</v>
      </c>
      <c r="G301" s="2">
        <f t="shared" si="41"/>
        <v>2003</v>
      </c>
      <c r="H301" s="2">
        <f t="shared" si="42"/>
        <v>8366.2999999999993</v>
      </c>
      <c r="I301" s="2">
        <f t="shared" si="43"/>
        <v>6159.1</v>
      </c>
      <c r="J301" s="2">
        <f t="shared" si="44"/>
        <v>2210.1</v>
      </c>
    </row>
    <row r="302" spans="1:10" x14ac:dyDescent="0.45">
      <c r="A302" s="2" t="s">
        <v>64</v>
      </c>
      <c r="B302" s="2" t="str">
        <f t="shared" si="36"/>
        <v>Mixed</v>
      </c>
      <c r="C302" s="2" t="str">
        <f t="shared" si="37"/>
        <v>United States</v>
      </c>
      <c r="D302" s="2" t="str">
        <f t="shared" si="38"/>
        <v>English</v>
      </c>
      <c r="E302" s="2" t="str">
        <f t="shared" si="39"/>
        <v>Pop</v>
      </c>
      <c r="F302" s="2" t="str">
        <f t="shared" si="40"/>
        <v>Group</v>
      </c>
      <c r="G302" s="2">
        <f t="shared" si="41"/>
        <v>2002</v>
      </c>
      <c r="H302" s="2">
        <f t="shared" si="42"/>
        <v>35794.1</v>
      </c>
      <c r="I302" s="2">
        <f t="shared" si="43"/>
        <v>35585.800000000003</v>
      </c>
      <c r="J302" s="2">
        <f t="shared" si="44"/>
        <v>222.6</v>
      </c>
    </row>
    <row r="303" spans="1:10" x14ac:dyDescent="0.45">
      <c r="A303" s="2" t="s">
        <v>122</v>
      </c>
      <c r="B303" s="2" t="str">
        <f t="shared" si="36"/>
        <v>Male</v>
      </c>
      <c r="C303" s="2" t="str">
        <f t="shared" si="37"/>
        <v>United States</v>
      </c>
      <c r="D303" s="2" t="str">
        <f t="shared" si="38"/>
        <v>English</v>
      </c>
      <c r="E303" s="2" t="str">
        <f t="shared" si="39"/>
        <v>EDM</v>
      </c>
      <c r="F303" s="2" t="str">
        <f t="shared" si="40"/>
        <v>Solo</v>
      </c>
      <c r="G303" s="2">
        <f t="shared" si="41"/>
        <v>2015</v>
      </c>
      <c r="H303" s="2">
        <f t="shared" si="42"/>
        <v>23705.9</v>
      </c>
      <c r="I303" s="2">
        <f t="shared" si="43"/>
        <v>17589.400000000001</v>
      </c>
      <c r="J303" s="2">
        <f t="shared" si="44"/>
        <v>6122.5</v>
      </c>
    </row>
    <row r="304" spans="1:10" x14ac:dyDescent="0.45">
      <c r="A304" s="2" t="s">
        <v>263</v>
      </c>
      <c r="B304" s="2" t="str">
        <f t="shared" si="36"/>
        <v>Male</v>
      </c>
      <c r="C304" s="2" t="str">
        <f t="shared" si="37"/>
        <v>Netherlands</v>
      </c>
      <c r="D304" s="2" t="str">
        <f t="shared" si="38"/>
        <v>English</v>
      </c>
      <c r="E304" s="2" t="str">
        <f t="shared" si="39"/>
        <v>EDM</v>
      </c>
      <c r="F304" s="2" t="str">
        <f t="shared" si="40"/>
        <v>Solo</v>
      </c>
      <c r="G304" s="2">
        <f t="shared" si="41"/>
        <v>2012</v>
      </c>
      <c r="H304" s="2">
        <f t="shared" si="42"/>
        <v>13468.7</v>
      </c>
      <c r="I304" s="2">
        <f t="shared" si="43"/>
        <v>12222.3</v>
      </c>
      <c r="J304" s="2">
        <f t="shared" si="44"/>
        <v>1249.7</v>
      </c>
    </row>
    <row r="305" spans="1:10" x14ac:dyDescent="0.45">
      <c r="A305" s="2" t="s">
        <v>381</v>
      </c>
      <c r="B305" s="2" t="str">
        <f t="shared" si="36"/>
        <v>Male</v>
      </c>
      <c r="C305" s="2" t="str">
        <f t="shared" si="37"/>
        <v>Brazil</v>
      </c>
      <c r="D305" s="2" t="str">
        <f t="shared" si="38"/>
        <v>Portuguese</v>
      </c>
      <c r="E305" s="2" t="str">
        <f t="shared" si="39"/>
        <v>Sertanjeo</v>
      </c>
      <c r="F305" s="2" t="str">
        <f t="shared" si="40"/>
        <v>Group</v>
      </c>
      <c r="G305" s="2">
        <f t="shared" si="41"/>
        <v>2010</v>
      </c>
      <c r="H305" s="2">
        <f t="shared" si="42"/>
        <v>10122.5</v>
      </c>
      <c r="I305" s="2">
        <f t="shared" si="43"/>
        <v>8138.6</v>
      </c>
      <c r="J305" s="2">
        <f t="shared" si="44"/>
        <v>1988.4</v>
      </c>
    </row>
    <row r="306" spans="1:10" x14ac:dyDescent="0.45">
      <c r="A306" s="2" t="s">
        <v>550</v>
      </c>
      <c r="B306" s="2" t="str">
        <f t="shared" si="36"/>
        <v>Male</v>
      </c>
      <c r="C306" s="2" t="str">
        <f t="shared" si="37"/>
        <v>Brazil</v>
      </c>
      <c r="D306" s="2" t="str">
        <f t="shared" si="38"/>
        <v>Portuguese</v>
      </c>
      <c r="E306" s="2" t="str">
        <f t="shared" si="39"/>
        <v>Latin</v>
      </c>
      <c r="F306" s="2" t="str">
        <f t="shared" si="40"/>
        <v>Solo</v>
      </c>
      <c r="G306" s="2">
        <f t="shared" si="41"/>
        <v>2015</v>
      </c>
      <c r="H306" s="2">
        <f t="shared" si="42"/>
        <v>7387.8</v>
      </c>
      <c r="I306" s="2">
        <f t="shared" si="43"/>
        <v>2807.5</v>
      </c>
      <c r="J306" s="2">
        <f t="shared" si="44"/>
        <v>4581</v>
      </c>
    </row>
    <row r="307" spans="1:10" x14ac:dyDescent="0.45">
      <c r="A307" s="2" t="s">
        <v>314</v>
      </c>
      <c r="B307" s="2" t="str">
        <f t="shared" si="36"/>
        <v>Male</v>
      </c>
      <c r="C307" s="2" t="str">
        <f t="shared" si="37"/>
        <v>Brazil</v>
      </c>
      <c r="D307" s="2" t="str">
        <f t="shared" si="38"/>
        <v>Portuguese</v>
      </c>
      <c r="E307" s="2" t="str">
        <f t="shared" si="39"/>
        <v>Hip-Hop</v>
      </c>
      <c r="F307" s="2" t="str">
        <f t="shared" si="40"/>
        <v>Solo</v>
      </c>
      <c r="G307" s="2">
        <f t="shared" si="41"/>
        <v>2019</v>
      </c>
      <c r="H307" s="2">
        <f t="shared" si="42"/>
        <v>11715.1</v>
      </c>
      <c r="I307" s="2">
        <f t="shared" si="43"/>
        <v>1404.1</v>
      </c>
      <c r="J307" s="2">
        <f t="shared" si="44"/>
        <v>10305.200000000001</v>
      </c>
    </row>
    <row r="308" spans="1:10" x14ac:dyDescent="0.45">
      <c r="A308" s="2" t="s">
        <v>374</v>
      </c>
      <c r="B308" s="2" t="str">
        <f t="shared" si="36"/>
        <v>Male</v>
      </c>
      <c r="C308" s="2" t="str">
        <f t="shared" si="37"/>
        <v>United States</v>
      </c>
      <c r="D308" s="2" t="str">
        <f t="shared" si="38"/>
        <v>English</v>
      </c>
      <c r="E308" s="2" t="str">
        <f t="shared" si="39"/>
        <v>Hip-Hop</v>
      </c>
      <c r="F308" s="2" t="str">
        <f t="shared" si="40"/>
        <v>Solo</v>
      </c>
      <c r="G308" s="2">
        <f t="shared" si="41"/>
        <v>2003</v>
      </c>
      <c r="H308" s="2">
        <f t="shared" si="42"/>
        <v>10231.200000000001</v>
      </c>
      <c r="I308" s="2">
        <f t="shared" si="43"/>
        <v>7551.1</v>
      </c>
      <c r="J308" s="2">
        <f t="shared" si="44"/>
        <v>2685</v>
      </c>
    </row>
    <row r="309" spans="1:10" x14ac:dyDescent="0.45">
      <c r="A309" s="2" t="s">
        <v>260</v>
      </c>
      <c r="B309" s="2" t="str">
        <f t="shared" si="36"/>
        <v>Female</v>
      </c>
      <c r="C309" s="2" t="str">
        <f t="shared" si="37"/>
        <v>United States</v>
      </c>
      <c r="D309" s="2" t="str">
        <f t="shared" si="38"/>
        <v>English</v>
      </c>
      <c r="E309" s="2" t="str">
        <f t="shared" si="39"/>
        <v>Hip-Hop</v>
      </c>
      <c r="F309" s="2" t="str">
        <f t="shared" si="40"/>
        <v>Solo</v>
      </c>
      <c r="G309" s="2">
        <f t="shared" si="41"/>
        <v>2016</v>
      </c>
      <c r="H309" s="2">
        <f t="shared" si="42"/>
        <v>13532</v>
      </c>
      <c r="I309" s="2">
        <f t="shared" si="43"/>
        <v>7853.3</v>
      </c>
      <c r="J309" s="2">
        <f t="shared" si="44"/>
        <v>5683.7</v>
      </c>
    </row>
    <row r="310" spans="1:10" x14ac:dyDescent="0.45">
      <c r="A310" s="2" t="s">
        <v>310</v>
      </c>
      <c r="B310" s="2" t="str">
        <f t="shared" si="36"/>
        <v>Female</v>
      </c>
      <c r="C310" s="2" t="str">
        <f t="shared" si="37"/>
        <v>United States</v>
      </c>
      <c r="D310" s="2" t="str">
        <f t="shared" si="38"/>
        <v>English</v>
      </c>
      <c r="E310" s="2" t="str">
        <f t="shared" si="39"/>
        <v>Pop</v>
      </c>
      <c r="F310" s="2" t="str">
        <f t="shared" si="40"/>
        <v>Solo</v>
      </c>
      <c r="G310" s="2">
        <f t="shared" si="41"/>
        <v>2009</v>
      </c>
      <c r="H310" s="2">
        <f t="shared" si="42"/>
        <v>11817.1</v>
      </c>
      <c r="I310" s="2">
        <f t="shared" si="43"/>
        <v>9731.6</v>
      </c>
      <c r="J310" s="2">
        <f t="shared" si="44"/>
        <v>2088</v>
      </c>
    </row>
    <row r="311" spans="1:10" x14ac:dyDescent="0.45">
      <c r="A311" s="2" t="s">
        <v>318</v>
      </c>
      <c r="B311" s="2" t="str">
        <f t="shared" si="36"/>
        <v>Female</v>
      </c>
      <c r="C311" s="2" t="str">
        <f t="shared" si="37"/>
        <v>United States</v>
      </c>
      <c r="D311" s="2" t="str">
        <f t="shared" si="38"/>
        <v>English</v>
      </c>
      <c r="E311" s="2" t="str">
        <f t="shared" si="39"/>
        <v>Pop</v>
      </c>
      <c r="F311" s="2" t="str">
        <f t="shared" si="40"/>
        <v>Solo</v>
      </c>
      <c r="G311" s="2">
        <f t="shared" si="41"/>
        <v>2014</v>
      </c>
      <c r="H311" s="2">
        <f t="shared" si="42"/>
        <v>11632.9</v>
      </c>
      <c r="I311" s="2">
        <f t="shared" si="43"/>
        <v>11637.4</v>
      </c>
      <c r="J311" s="2">
        <f t="shared" si="44"/>
        <v>0</v>
      </c>
    </row>
    <row r="312" spans="1:10" x14ac:dyDescent="0.45">
      <c r="A312" s="2" t="s">
        <v>162</v>
      </c>
      <c r="B312" s="2" t="str">
        <f t="shared" si="36"/>
        <v>Male</v>
      </c>
      <c r="C312" s="2" t="str">
        <f t="shared" si="37"/>
        <v>United States</v>
      </c>
      <c r="D312" s="2" t="str">
        <f t="shared" si="38"/>
        <v>English</v>
      </c>
      <c r="E312" s="2" t="str">
        <f t="shared" si="39"/>
        <v>Rock</v>
      </c>
      <c r="F312" s="2" t="str">
        <f t="shared" si="40"/>
        <v>Group</v>
      </c>
      <c r="G312" s="2">
        <f t="shared" si="41"/>
        <v>1983</v>
      </c>
      <c r="H312" s="2">
        <f t="shared" si="42"/>
        <v>18627</v>
      </c>
      <c r="I312" s="2">
        <f t="shared" si="43"/>
        <v>18557</v>
      </c>
      <c r="J312" s="2">
        <f t="shared" si="44"/>
        <v>77.900000000000006</v>
      </c>
    </row>
    <row r="313" spans="1:10" x14ac:dyDescent="0.45">
      <c r="A313" s="2" t="s">
        <v>93</v>
      </c>
      <c r="B313" s="2" t="str">
        <f t="shared" si="36"/>
        <v>Male</v>
      </c>
      <c r="C313" s="2" t="str">
        <f t="shared" si="37"/>
        <v>United States</v>
      </c>
      <c r="D313" s="2" t="str">
        <f t="shared" si="38"/>
        <v>English</v>
      </c>
      <c r="E313" s="2" t="str">
        <f t="shared" si="39"/>
        <v>Hip-Hop</v>
      </c>
      <c r="F313" s="2" t="str">
        <f t="shared" si="40"/>
        <v>Solo</v>
      </c>
      <c r="G313" s="2">
        <f t="shared" si="41"/>
        <v>2013</v>
      </c>
      <c r="H313" s="2">
        <f t="shared" si="42"/>
        <v>28848.7</v>
      </c>
      <c r="I313" s="2">
        <f t="shared" si="43"/>
        <v>13945.2</v>
      </c>
      <c r="J313" s="2">
        <f t="shared" si="44"/>
        <v>14911.9</v>
      </c>
    </row>
    <row r="314" spans="1:10" x14ac:dyDescent="0.45">
      <c r="A314" s="2" t="s">
        <v>266</v>
      </c>
      <c r="B314" s="2" t="str">
        <f t="shared" si="36"/>
        <v>Male</v>
      </c>
      <c r="C314" s="2" t="str">
        <f t="shared" si="37"/>
        <v>United States</v>
      </c>
      <c r="D314" s="2" t="str">
        <f t="shared" si="38"/>
        <v>English</v>
      </c>
      <c r="E314" s="2" t="str">
        <f t="shared" si="39"/>
        <v>Hip-Hop</v>
      </c>
      <c r="F314" s="2" t="str">
        <f t="shared" si="40"/>
        <v>Solo</v>
      </c>
      <c r="G314" s="2">
        <f t="shared" si="41"/>
        <v>2006</v>
      </c>
      <c r="H314" s="2">
        <f t="shared" si="42"/>
        <v>13398.3</v>
      </c>
      <c r="I314" s="2">
        <f t="shared" si="43"/>
        <v>13409.8</v>
      </c>
      <c r="J314" s="2">
        <f t="shared" si="44"/>
        <v>0</v>
      </c>
    </row>
    <row r="315" spans="1:10" x14ac:dyDescent="0.45">
      <c r="A315" s="2" t="s">
        <v>293</v>
      </c>
      <c r="B315" s="2" t="str">
        <f t="shared" si="36"/>
        <v>Male</v>
      </c>
      <c r="C315" s="2" t="str">
        <f t="shared" si="37"/>
        <v>Canada</v>
      </c>
      <c r="D315" s="2" t="str">
        <f t="shared" si="38"/>
        <v>English</v>
      </c>
      <c r="E315" s="2" t="str">
        <f t="shared" si="39"/>
        <v>Pop</v>
      </c>
      <c r="F315" s="2" t="str">
        <f t="shared" si="40"/>
        <v>Solo</v>
      </c>
      <c r="G315" s="2">
        <f t="shared" si="41"/>
        <v>2001</v>
      </c>
      <c r="H315" s="2">
        <f t="shared" si="42"/>
        <v>12647.5</v>
      </c>
      <c r="I315" s="2">
        <f t="shared" si="43"/>
        <v>11934</v>
      </c>
      <c r="J315" s="2">
        <f t="shared" si="44"/>
        <v>715.4</v>
      </c>
    </row>
    <row r="316" spans="1:10" x14ac:dyDescent="0.45">
      <c r="A316" s="2" t="s">
        <v>111</v>
      </c>
      <c r="B316" s="2" t="str">
        <f t="shared" si="36"/>
        <v>Male</v>
      </c>
      <c r="C316" s="2" t="str">
        <f t="shared" si="37"/>
        <v>United States</v>
      </c>
      <c r="D316" s="2" t="str">
        <f t="shared" si="38"/>
        <v>English</v>
      </c>
      <c r="E316" s="2" t="str">
        <f t="shared" si="39"/>
        <v>Pop</v>
      </c>
      <c r="F316" s="2" t="str">
        <f t="shared" si="40"/>
        <v>Solo</v>
      </c>
      <c r="G316" s="2">
        <f t="shared" si="41"/>
        <v>1964</v>
      </c>
      <c r="H316" s="2">
        <f t="shared" si="42"/>
        <v>25264.400000000001</v>
      </c>
      <c r="I316" s="2">
        <f t="shared" si="43"/>
        <v>24355.5</v>
      </c>
      <c r="J316" s="2">
        <f t="shared" si="44"/>
        <v>908.9</v>
      </c>
    </row>
    <row r="317" spans="1:10" x14ac:dyDescent="0.45">
      <c r="A317" s="2" t="s">
        <v>211</v>
      </c>
      <c r="B317" s="2" t="str">
        <f t="shared" si="36"/>
        <v>Male</v>
      </c>
      <c r="C317" s="2" t="str">
        <f t="shared" si="37"/>
        <v>United States</v>
      </c>
      <c r="D317" s="2" t="str">
        <f t="shared" si="38"/>
        <v>English</v>
      </c>
      <c r="E317" s="2" t="str">
        <f t="shared" si="39"/>
        <v>Hip-Hop</v>
      </c>
      <c r="F317" s="2" t="str">
        <f t="shared" si="40"/>
        <v>Group</v>
      </c>
      <c r="G317" s="2">
        <f t="shared" si="41"/>
        <v>2013</v>
      </c>
      <c r="H317" s="2">
        <f t="shared" si="42"/>
        <v>15562.1</v>
      </c>
      <c r="I317" s="2">
        <f t="shared" si="43"/>
        <v>13694</v>
      </c>
      <c r="J317" s="2">
        <f t="shared" si="44"/>
        <v>1874.1</v>
      </c>
    </row>
    <row r="318" spans="1:10" x14ac:dyDescent="0.45">
      <c r="A318" s="2" t="s">
        <v>275</v>
      </c>
      <c r="B318" s="2" t="str">
        <f t="shared" si="36"/>
        <v>Male</v>
      </c>
      <c r="C318" s="2" t="str">
        <f t="shared" si="37"/>
        <v>United States</v>
      </c>
      <c r="D318" s="2" t="str">
        <f t="shared" si="38"/>
        <v>English</v>
      </c>
      <c r="E318" s="2" t="str">
        <f t="shared" si="39"/>
        <v>R&amp;B</v>
      </c>
      <c r="F318" s="2" t="str">
        <f t="shared" si="40"/>
        <v>Solo</v>
      </c>
      <c r="G318" s="2">
        <f t="shared" si="41"/>
        <v>2010</v>
      </c>
      <c r="H318" s="2">
        <f t="shared" si="42"/>
        <v>13065.7</v>
      </c>
      <c r="I318" s="2">
        <f t="shared" si="43"/>
        <v>7612.4</v>
      </c>
      <c r="J318" s="2">
        <f t="shared" si="44"/>
        <v>5460.1</v>
      </c>
    </row>
    <row r="319" spans="1:10" x14ac:dyDescent="0.45">
      <c r="A319" s="2" t="s">
        <v>120</v>
      </c>
      <c r="B319" s="2" t="str">
        <f t="shared" si="36"/>
        <v>Female</v>
      </c>
      <c r="C319" s="2" t="str">
        <f t="shared" si="37"/>
        <v>United States</v>
      </c>
      <c r="D319" s="2" t="str">
        <f t="shared" si="38"/>
        <v>English</v>
      </c>
      <c r="E319" s="2" t="str">
        <f t="shared" si="39"/>
        <v>Pop</v>
      </c>
      <c r="F319" s="2" t="str">
        <f t="shared" si="40"/>
        <v>Solo</v>
      </c>
      <c r="G319" s="2">
        <f t="shared" si="41"/>
        <v>2006</v>
      </c>
      <c r="H319" s="2">
        <f t="shared" si="42"/>
        <v>23907.599999999999</v>
      </c>
      <c r="I319" s="2">
        <f t="shared" si="43"/>
        <v>20739</v>
      </c>
      <c r="J319" s="2">
        <f t="shared" si="44"/>
        <v>3175.7</v>
      </c>
    </row>
    <row r="320" spans="1:10" x14ac:dyDescent="0.45">
      <c r="A320" s="2" t="s">
        <v>476</v>
      </c>
      <c r="B320" s="2" t="str">
        <f t="shared" si="36"/>
        <v>Male</v>
      </c>
      <c r="C320" s="2" t="str">
        <f t="shared" si="37"/>
        <v>Argentina</v>
      </c>
      <c r="D320" s="2" t="str">
        <f t="shared" si="38"/>
        <v>Spanish</v>
      </c>
      <c r="E320" s="2" t="str">
        <f t="shared" si="39"/>
        <v>Hip-Hop</v>
      </c>
      <c r="F320" s="2" t="str">
        <f t="shared" si="40"/>
        <v>Solo</v>
      </c>
      <c r="G320" s="2">
        <f t="shared" si="41"/>
        <v>2021</v>
      </c>
      <c r="H320" s="2">
        <f t="shared" si="42"/>
        <v>8309.1</v>
      </c>
      <c r="I320" s="2">
        <f t="shared" si="43"/>
        <v>5592</v>
      </c>
      <c r="J320" s="2">
        <f t="shared" si="44"/>
        <v>2724.4</v>
      </c>
    </row>
    <row r="321" spans="1:10" x14ac:dyDescent="0.45">
      <c r="A321" s="2" t="s">
        <v>344</v>
      </c>
      <c r="B321" s="2" t="str">
        <f t="shared" si="36"/>
        <v>Female</v>
      </c>
      <c r="C321" s="2" t="str">
        <f t="shared" si="37"/>
        <v>Japan</v>
      </c>
      <c r="D321" s="2" t="str">
        <f t="shared" si="38"/>
        <v>English</v>
      </c>
      <c r="E321" s="2" t="str">
        <f t="shared" si="39"/>
        <v>Alternative</v>
      </c>
      <c r="F321" s="2" t="str">
        <f t="shared" si="40"/>
        <v>Solo</v>
      </c>
      <c r="G321" s="2">
        <f t="shared" si="41"/>
        <v>2012</v>
      </c>
      <c r="H321" s="2">
        <f t="shared" si="42"/>
        <v>10939.4</v>
      </c>
      <c r="I321" s="2">
        <f t="shared" si="43"/>
        <v>9358.7999999999993</v>
      </c>
      <c r="J321" s="2">
        <f t="shared" si="44"/>
        <v>1614.9</v>
      </c>
    </row>
    <row r="322" spans="1:10" x14ac:dyDescent="0.45">
      <c r="A322" s="2" t="s">
        <v>555</v>
      </c>
      <c r="B322" s="2" t="str">
        <f t="shared" ref="B322:B385" si="45">VLOOKUP(A322,Spotify1,2,FALSE)</f>
        <v>Female</v>
      </c>
      <c r="C322" s="2" t="str">
        <f t="shared" ref="C322:C385" si="46">VLOOKUP(A322,Spotify1,3,FALSE)</f>
        <v>Denmark</v>
      </c>
      <c r="D322" s="2" t="str">
        <f t="shared" ref="D322:D385" si="47">VLOOKUP(A322,Spotify1,4,FALSE)</f>
        <v>English</v>
      </c>
      <c r="E322" s="2" t="str">
        <f t="shared" ref="E322:E385" si="48">VLOOKUP(A322,Spotify1,5,FALSE)</f>
        <v>Pop</v>
      </c>
      <c r="F322" s="2" t="str">
        <f t="shared" ref="F322:F385" si="49">VLOOKUP(A322,Spotify1,6,FALSE)</f>
        <v>Solo</v>
      </c>
      <c r="G322" s="2">
        <f t="shared" ref="G322:G385" si="50">VLOOKUP(A322,Spotify1,7,FALSE)</f>
        <v>2006</v>
      </c>
      <c r="H322" s="2">
        <f t="shared" ref="H322:H385" si="51">VLOOKUP(A322,Spotify1,8,FALSE)</f>
        <v>7335.2</v>
      </c>
      <c r="I322" s="2">
        <f t="shared" ref="I322:I385" si="52">VLOOKUP(A322,Spotify1,9,FALSE)</f>
        <v>6735.6</v>
      </c>
      <c r="J322" s="2">
        <f t="shared" ref="J322:J385" si="53">VLOOKUP(A322,Spotify1,10,FALSE)</f>
        <v>602</v>
      </c>
    </row>
    <row r="323" spans="1:10" x14ac:dyDescent="0.45">
      <c r="A323" s="2" t="s">
        <v>563</v>
      </c>
      <c r="B323" s="2" t="str">
        <f t="shared" si="45"/>
        <v>Male</v>
      </c>
      <c r="C323" s="2" t="str">
        <f t="shared" si="46"/>
        <v>United States</v>
      </c>
      <c r="D323" s="2" t="str">
        <f t="shared" si="47"/>
        <v>English</v>
      </c>
      <c r="E323" s="2" t="str">
        <f t="shared" si="48"/>
        <v>Hip-Hop</v>
      </c>
      <c r="F323" s="2" t="str">
        <f t="shared" si="49"/>
        <v>Solo</v>
      </c>
      <c r="G323" s="2">
        <f t="shared" si="50"/>
        <v>2012</v>
      </c>
      <c r="H323" s="2">
        <f t="shared" si="51"/>
        <v>7252.1</v>
      </c>
      <c r="I323" s="2">
        <f t="shared" si="52"/>
        <v>4583.7</v>
      </c>
      <c r="J323" s="2">
        <f t="shared" si="53"/>
        <v>2668.4</v>
      </c>
    </row>
    <row r="324" spans="1:10" x14ac:dyDescent="0.45">
      <c r="A324" s="2" t="s">
        <v>269</v>
      </c>
      <c r="B324" s="2" t="str">
        <f t="shared" si="45"/>
        <v>Male</v>
      </c>
      <c r="C324" s="2" t="str">
        <f t="shared" si="46"/>
        <v>United States</v>
      </c>
      <c r="D324" s="2" t="str">
        <f t="shared" si="47"/>
        <v>Spanish</v>
      </c>
      <c r="E324" s="2" t="str">
        <f t="shared" si="48"/>
        <v>Reggaeton</v>
      </c>
      <c r="F324" s="2" t="str">
        <f t="shared" si="49"/>
        <v>Solo</v>
      </c>
      <c r="G324" s="2">
        <f t="shared" si="50"/>
        <v>2017</v>
      </c>
      <c r="H324" s="2">
        <f t="shared" si="51"/>
        <v>13291</v>
      </c>
      <c r="I324" s="2">
        <f t="shared" si="52"/>
        <v>10113.700000000001</v>
      </c>
      <c r="J324" s="2">
        <f t="shared" si="53"/>
        <v>3183.3</v>
      </c>
    </row>
    <row r="325" spans="1:10" x14ac:dyDescent="0.45">
      <c r="A325" s="2" t="s">
        <v>566</v>
      </c>
      <c r="B325" s="2" t="str">
        <f t="shared" si="45"/>
        <v>Male</v>
      </c>
      <c r="C325" s="2" t="str">
        <f t="shared" si="46"/>
        <v>Spain</v>
      </c>
      <c r="D325" s="2" t="str">
        <f t="shared" si="47"/>
        <v>Spanish</v>
      </c>
      <c r="E325" s="2" t="str">
        <f t="shared" si="48"/>
        <v>Hip-Hop</v>
      </c>
      <c r="F325" s="2" t="str">
        <f t="shared" si="49"/>
        <v>Solo</v>
      </c>
      <c r="G325" s="2">
        <f t="shared" si="50"/>
        <v>2018</v>
      </c>
      <c r="H325" s="2">
        <f t="shared" si="51"/>
        <v>7209.6</v>
      </c>
      <c r="I325" s="2">
        <f t="shared" si="52"/>
        <v>3303.8</v>
      </c>
      <c r="J325" s="2">
        <f t="shared" si="53"/>
        <v>3905.7</v>
      </c>
    </row>
    <row r="326" spans="1:10" x14ac:dyDescent="0.45">
      <c r="A326" s="2" t="s">
        <v>240</v>
      </c>
      <c r="B326" s="2" t="str">
        <f t="shared" si="45"/>
        <v>Male</v>
      </c>
      <c r="C326" s="2" t="str">
        <f t="shared" si="46"/>
        <v>Colombia</v>
      </c>
      <c r="D326" s="2" t="str">
        <f t="shared" si="47"/>
        <v>Spanish</v>
      </c>
      <c r="E326" s="2" t="str">
        <f t="shared" si="48"/>
        <v>Latin</v>
      </c>
      <c r="F326" s="2" t="str">
        <f t="shared" si="49"/>
        <v>Group</v>
      </c>
      <c r="G326" s="2">
        <f t="shared" si="50"/>
        <v>2015</v>
      </c>
      <c r="H326" s="2">
        <f t="shared" si="51"/>
        <v>14293.7</v>
      </c>
      <c r="I326" s="2">
        <f t="shared" si="52"/>
        <v>11695.5</v>
      </c>
      <c r="J326" s="2">
        <f t="shared" si="53"/>
        <v>2609</v>
      </c>
    </row>
    <row r="327" spans="1:10" x14ac:dyDescent="0.45">
      <c r="A327" s="2" t="s">
        <v>84</v>
      </c>
      <c r="B327" s="2" t="str">
        <f t="shared" si="45"/>
        <v>Male</v>
      </c>
      <c r="C327" s="2" t="str">
        <f t="shared" si="46"/>
        <v>United States</v>
      </c>
      <c r="D327" s="2" t="str">
        <f t="shared" si="47"/>
        <v>English</v>
      </c>
      <c r="E327" s="2" t="str">
        <f t="shared" si="48"/>
        <v>Country</v>
      </c>
      <c r="F327" s="2" t="str">
        <f t="shared" si="49"/>
        <v>Solo</v>
      </c>
      <c r="G327" s="2">
        <f t="shared" si="50"/>
        <v>2014</v>
      </c>
      <c r="H327" s="2">
        <f t="shared" si="51"/>
        <v>31171.1</v>
      </c>
      <c r="I327" s="2">
        <f t="shared" si="52"/>
        <v>26589.9</v>
      </c>
      <c r="J327" s="2">
        <f t="shared" si="53"/>
        <v>4600.3999999999996</v>
      </c>
    </row>
    <row r="328" spans="1:10" x14ac:dyDescent="0.45">
      <c r="A328" s="2" t="s">
        <v>523</v>
      </c>
      <c r="B328" s="2" t="str">
        <f t="shared" si="45"/>
        <v>Male</v>
      </c>
      <c r="C328" s="2" t="str">
        <f t="shared" si="46"/>
        <v>United Kingdom</v>
      </c>
      <c r="D328" s="2" t="str">
        <f t="shared" si="47"/>
        <v>English</v>
      </c>
      <c r="E328" s="2" t="str">
        <f t="shared" si="48"/>
        <v>Rock</v>
      </c>
      <c r="F328" s="2" t="str">
        <f t="shared" si="49"/>
        <v>Group</v>
      </c>
      <c r="G328" s="2">
        <f t="shared" si="50"/>
        <v>2009</v>
      </c>
      <c r="H328" s="2">
        <f t="shared" si="51"/>
        <v>7713.9</v>
      </c>
      <c r="I328" s="2">
        <f t="shared" si="52"/>
        <v>7713.9</v>
      </c>
      <c r="J328" s="2">
        <f t="shared" si="53"/>
        <v>0</v>
      </c>
    </row>
    <row r="329" spans="1:10" x14ac:dyDescent="0.45">
      <c r="A329" s="2" t="s">
        <v>418</v>
      </c>
      <c r="B329" s="2" t="str">
        <f t="shared" si="45"/>
        <v>Male</v>
      </c>
      <c r="C329" s="2" t="str">
        <f t="shared" si="46"/>
        <v>United Kingdom</v>
      </c>
      <c r="D329" s="2" t="str">
        <f t="shared" si="47"/>
        <v>English</v>
      </c>
      <c r="E329" s="2" t="str">
        <f t="shared" si="48"/>
        <v>Rock</v>
      </c>
      <c r="F329" s="2" t="str">
        <f t="shared" si="49"/>
        <v>Group</v>
      </c>
      <c r="G329" s="2">
        <f t="shared" si="50"/>
        <v>1999</v>
      </c>
      <c r="H329" s="2">
        <f t="shared" si="51"/>
        <v>9212.4</v>
      </c>
      <c r="I329" s="2">
        <f t="shared" si="52"/>
        <v>7752.7</v>
      </c>
      <c r="J329" s="2">
        <f t="shared" si="53"/>
        <v>1460.8</v>
      </c>
    </row>
    <row r="330" spans="1:10" x14ac:dyDescent="0.45">
      <c r="A330" s="2" t="s">
        <v>375</v>
      </c>
      <c r="B330" s="2" t="str">
        <f t="shared" si="45"/>
        <v>Male</v>
      </c>
      <c r="C330" s="2" t="str">
        <f t="shared" si="46"/>
        <v>United States</v>
      </c>
      <c r="D330" s="2" t="str">
        <f t="shared" si="47"/>
        <v>English</v>
      </c>
      <c r="E330" s="2" t="str">
        <f t="shared" si="48"/>
        <v>Rock</v>
      </c>
      <c r="F330" s="2" t="str">
        <f t="shared" si="49"/>
        <v>Group</v>
      </c>
      <c r="G330" s="2">
        <f t="shared" si="50"/>
        <v>2002</v>
      </c>
      <c r="H330" s="2">
        <f t="shared" si="51"/>
        <v>10180.200000000001</v>
      </c>
      <c r="I330" s="2">
        <f t="shared" si="52"/>
        <v>10185.799999999999</v>
      </c>
      <c r="J330" s="2">
        <f t="shared" si="53"/>
        <v>0</v>
      </c>
    </row>
    <row r="331" spans="1:10" x14ac:dyDescent="0.45">
      <c r="A331" s="2" t="s">
        <v>73</v>
      </c>
      <c r="B331" s="2" t="str">
        <f t="shared" si="45"/>
        <v>Male</v>
      </c>
      <c r="C331" s="2" t="str">
        <f t="shared" si="46"/>
        <v>United States</v>
      </c>
      <c r="D331" s="2" t="str">
        <f t="shared" si="47"/>
        <v>Spanish</v>
      </c>
      <c r="E331" s="2" t="str">
        <f t="shared" si="48"/>
        <v>Reggaeton</v>
      </c>
      <c r="F331" s="2" t="str">
        <f t="shared" si="49"/>
        <v>Solo</v>
      </c>
      <c r="G331" s="2">
        <f t="shared" si="50"/>
        <v>2016</v>
      </c>
      <c r="H331" s="2">
        <f t="shared" si="51"/>
        <v>33620.699999999997</v>
      </c>
      <c r="I331" s="2">
        <f t="shared" si="52"/>
        <v>14022.5</v>
      </c>
      <c r="J331" s="2">
        <f t="shared" si="53"/>
        <v>19614.7</v>
      </c>
    </row>
    <row r="332" spans="1:10" x14ac:dyDescent="0.45">
      <c r="A332" s="2" t="s">
        <v>140</v>
      </c>
      <c r="B332" s="2" t="str">
        <f t="shared" si="45"/>
        <v>Male</v>
      </c>
      <c r="C332" s="2" t="str">
        <f t="shared" si="46"/>
        <v>Mexico</v>
      </c>
      <c r="D332" s="2" t="str">
        <f t="shared" si="47"/>
        <v>Spanish</v>
      </c>
      <c r="E332" s="2" t="str">
        <f t="shared" si="48"/>
        <v>Regional Mexican</v>
      </c>
      <c r="F332" s="2" t="str">
        <f t="shared" si="49"/>
        <v>Solo</v>
      </c>
      <c r="G332" s="2">
        <f t="shared" si="50"/>
        <v>2018</v>
      </c>
      <c r="H332" s="2">
        <f t="shared" si="51"/>
        <v>20300.7</v>
      </c>
      <c r="I332" s="2">
        <f t="shared" si="52"/>
        <v>13993.4</v>
      </c>
      <c r="J332" s="2">
        <f t="shared" si="53"/>
        <v>6316.3</v>
      </c>
    </row>
    <row r="333" spans="1:10" x14ac:dyDescent="0.45">
      <c r="A333" s="2" t="s">
        <v>481</v>
      </c>
      <c r="B333" s="2" t="str">
        <f t="shared" si="45"/>
        <v>Male</v>
      </c>
      <c r="C333" s="2" t="str">
        <f t="shared" si="46"/>
        <v>United States</v>
      </c>
      <c r="D333" s="2" t="str">
        <f t="shared" si="47"/>
        <v>English</v>
      </c>
      <c r="E333" s="2" t="str">
        <f t="shared" si="48"/>
        <v>Hip-Hop</v>
      </c>
      <c r="F333" s="2" t="str">
        <f t="shared" si="49"/>
        <v>Solo</v>
      </c>
      <c r="G333" s="2">
        <f t="shared" si="50"/>
        <v>1992</v>
      </c>
      <c r="H333" s="2">
        <f t="shared" si="51"/>
        <v>8235.9</v>
      </c>
      <c r="I333" s="2">
        <f t="shared" si="52"/>
        <v>1236.7</v>
      </c>
      <c r="J333" s="2">
        <f t="shared" si="53"/>
        <v>6999.2</v>
      </c>
    </row>
    <row r="334" spans="1:10" x14ac:dyDescent="0.45">
      <c r="A334" s="2" t="s">
        <v>430</v>
      </c>
      <c r="B334" s="2" t="str">
        <f t="shared" si="45"/>
        <v>Female</v>
      </c>
      <c r="C334" s="2" t="str">
        <f t="shared" si="46"/>
        <v>Dominican Republic</v>
      </c>
      <c r="D334" s="2" t="str">
        <f t="shared" si="47"/>
        <v>Spanish</v>
      </c>
      <c r="E334" s="2" t="str">
        <f t="shared" si="48"/>
        <v>Reggaeton</v>
      </c>
      <c r="F334" s="2" t="str">
        <f t="shared" si="49"/>
        <v>Solo</v>
      </c>
      <c r="G334" s="2">
        <f t="shared" si="50"/>
        <v>2010</v>
      </c>
      <c r="H334" s="2">
        <f t="shared" si="51"/>
        <v>8960.1</v>
      </c>
      <c r="I334" s="2">
        <f t="shared" si="52"/>
        <v>3564</v>
      </c>
      <c r="J334" s="2">
        <f t="shared" si="53"/>
        <v>5398.2</v>
      </c>
    </row>
    <row r="335" spans="1:10" x14ac:dyDescent="0.45">
      <c r="A335" s="2" t="s">
        <v>455</v>
      </c>
      <c r="B335" s="2" t="str">
        <f t="shared" si="45"/>
        <v>Male</v>
      </c>
      <c r="C335" s="2" t="str">
        <f t="shared" si="46"/>
        <v>Canada</v>
      </c>
      <c r="D335" s="2" t="str">
        <f t="shared" si="47"/>
        <v>English</v>
      </c>
      <c r="E335" s="2" t="str">
        <f t="shared" si="48"/>
        <v>Hip-Hop</v>
      </c>
      <c r="F335" s="2" t="str">
        <f t="shared" si="49"/>
        <v>Solo</v>
      </c>
      <c r="G335" s="2">
        <f t="shared" si="50"/>
        <v>2017</v>
      </c>
      <c r="H335" s="2">
        <f t="shared" si="51"/>
        <v>8564.4</v>
      </c>
      <c r="I335" s="2">
        <f t="shared" si="52"/>
        <v>5619.6</v>
      </c>
      <c r="J335" s="2">
        <f t="shared" si="53"/>
        <v>2944.9</v>
      </c>
    </row>
    <row r="336" spans="1:10" x14ac:dyDescent="0.45">
      <c r="A336" s="2" t="s">
        <v>522</v>
      </c>
      <c r="B336" s="2" t="str">
        <f t="shared" si="45"/>
        <v>Male</v>
      </c>
      <c r="C336" s="2" t="str">
        <f t="shared" si="46"/>
        <v>United States</v>
      </c>
      <c r="D336" s="2" t="str">
        <f t="shared" si="47"/>
        <v>English</v>
      </c>
      <c r="E336" s="2" t="str">
        <f t="shared" si="48"/>
        <v>Hip-Hop</v>
      </c>
      <c r="F336" s="2" t="str">
        <f t="shared" si="49"/>
        <v>Solo</v>
      </c>
      <c r="G336" s="2">
        <f t="shared" si="50"/>
        <v>2000</v>
      </c>
      <c r="H336" s="2">
        <f t="shared" si="51"/>
        <v>7729.6</v>
      </c>
      <c r="I336" s="2">
        <f t="shared" si="52"/>
        <v>6445.6</v>
      </c>
      <c r="J336" s="2">
        <f t="shared" si="53"/>
        <v>1287.7</v>
      </c>
    </row>
    <row r="337" spans="1:10" x14ac:dyDescent="0.45">
      <c r="A337" s="2" t="s">
        <v>528</v>
      </c>
      <c r="B337" s="2" t="str">
        <f t="shared" si="45"/>
        <v>Female</v>
      </c>
      <c r="C337" s="2" t="str">
        <f t="shared" si="46"/>
        <v>Canada</v>
      </c>
      <c r="D337" s="2" t="str">
        <f t="shared" si="47"/>
        <v>English</v>
      </c>
      <c r="E337" s="2" t="str">
        <f t="shared" si="48"/>
        <v>Pop</v>
      </c>
      <c r="F337" s="2" t="str">
        <f t="shared" si="49"/>
        <v>Solo</v>
      </c>
      <c r="G337" s="2">
        <f t="shared" si="50"/>
        <v>2000</v>
      </c>
      <c r="H337" s="2">
        <f t="shared" si="51"/>
        <v>7628.1</v>
      </c>
      <c r="I337" s="2">
        <f t="shared" si="52"/>
        <v>6657.6</v>
      </c>
      <c r="J337" s="2">
        <f t="shared" si="53"/>
        <v>974.8</v>
      </c>
    </row>
    <row r="338" spans="1:10" x14ac:dyDescent="0.45">
      <c r="A338" s="2" t="s">
        <v>290</v>
      </c>
      <c r="B338" s="2" t="str">
        <f t="shared" si="45"/>
        <v>Male</v>
      </c>
      <c r="C338" s="2" t="str">
        <f t="shared" si="46"/>
        <v>United States</v>
      </c>
      <c r="D338" s="2" t="str">
        <f t="shared" si="47"/>
        <v>Spanish</v>
      </c>
      <c r="E338" s="2" t="str">
        <f t="shared" si="48"/>
        <v>Reggaeton</v>
      </c>
      <c r="F338" s="2" t="str">
        <f t="shared" si="49"/>
        <v>Solo</v>
      </c>
      <c r="G338" s="2">
        <f t="shared" si="50"/>
        <v>2004</v>
      </c>
      <c r="H338" s="2">
        <f t="shared" si="51"/>
        <v>12713.2</v>
      </c>
      <c r="I338" s="2">
        <f t="shared" si="52"/>
        <v>12596.1</v>
      </c>
      <c r="J338" s="2">
        <f t="shared" si="53"/>
        <v>124.8</v>
      </c>
    </row>
    <row r="339" spans="1:10" x14ac:dyDescent="0.45">
      <c r="A339" s="2" t="s">
        <v>399</v>
      </c>
      <c r="B339" s="2" t="str">
        <f t="shared" si="45"/>
        <v>Male</v>
      </c>
      <c r="C339" s="2" t="str">
        <f t="shared" si="46"/>
        <v>Mexico</v>
      </c>
      <c r="D339" s="2" t="str">
        <f t="shared" si="47"/>
        <v>Spanish</v>
      </c>
      <c r="E339" s="2" t="str">
        <f t="shared" si="48"/>
        <v>Latin</v>
      </c>
      <c r="F339" s="2" t="str">
        <f t="shared" si="49"/>
        <v>Solo</v>
      </c>
      <c r="G339" s="2">
        <f t="shared" si="50"/>
        <v>2023</v>
      </c>
      <c r="H339" s="2">
        <f t="shared" si="51"/>
        <v>9854</v>
      </c>
      <c r="I339" s="2">
        <f t="shared" si="52"/>
        <v>8668.1</v>
      </c>
      <c r="J339" s="2">
        <f t="shared" si="53"/>
        <v>1197.3</v>
      </c>
    </row>
    <row r="340" spans="1:10" x14ac:dyDescent="0.45">
      <c r="A340" s="2" t="s">
        <v>509</v>
      </c>
      <c r="B340" s="2" t="str">
        <f t="shared" si="45"/>
        <v>Female</v>
      </c>
      <c r="C340" s="2" t="str">
        <f t="shared" si="46"/>
        <v>South Korea</v>
      </c>
      <c r="D340" s="2" t="str">
        <f t="shared" si="47"/>
        <v>Korean</v>
      </c>
      <c r="E340" s="2" t="str">
        <f t="shared" si="48"/>
        <v>K-Pop</v>
      </c>
      <c r="F340" s="2" t="str">
        <f t="shared" si="49"/>
        <v>Group</v>
      </c>
      <c r="G340" s="2">
        <f t="shared" si="50"/>
        <v>2022</v>
      </c>
      <c r="H340" s="2">
        <f t="shared" si="51"/>
        <v>7886.9</v>
      </c>
      <c r="I340" s="2">
        <f t="shared" si="52"/>
        <v>7880.6</v>
      </c>
      <c r="J340" s="2">
        <f t="shared" si="53"/>
        <v>5.3</v>
      </c>
    </row>
    <row r="341" spans="1:10" x14ac:dyDescent="0.45">
      <c r="A341" s="2" t="s">
        <v>226</v>
      </c>
      <c r="B341" s="2" t="str">
        <f t="shared" si="45"/>
        <v>Male</v>
      </c>
      <c r="C341" s="2" t="str">
        <f t="shared" si="46"/>
        <v>United States</v>
      </c>
      <c r="D341" s="2" t="str">
        <f t="shared" si="47"/>
        <v>English</v>
      </c>
      <c r="E341" s="2" t="str">
        <f t="shared" si="48"/>
        <v>R&amp;B</v>
      </c>
      <c r="F341" s="2" t="str">
        <f t="shared" si="49"/>
        <v>Solo</v>
      </c>
      <c r="G341" s="2">
        <f t="shared" si="50"/>
        <v>2006</v>
      </c>
      <c r="H341" s="2">
        <f t="shared" si="51"/>
        <v>14888.6</v>
      </c>
      <c r="I341" s="2">
        <f t="shared" si="52"/>
        <v>8808.5</v>
      </c>
      <c r="J341" s="2">
        <f t="shared" si="53"/>
        <v>6090.2</v>
      </c>
    </row>
    <row r="342" spans="1:10" x14ac:dyDescent="0.45">
      <c r="A342" s="2" t="s">
        <v>252</v>
      </c>
      <c r="B342" s="2" t="str">
        <f t="shared" si="45"/>
        <v>Male</v>
      </c>
      <c r="C342" s="2" t="str">
        <f t="shared" si="46"/>
        <v>United States</v>
      </c>
      <c r="D342" s="2" t="str">
        <f t="shared" si="47"/>
        <v>English</v>
      </c>
      <c r="E342" s="2" t="str">
        <f t="shared" si="48"/>
        <v>Hip-Hop</v>
      </c>
      <c r="F342" s="2" t="str">
        <f t="shared" si="49"/>
        <v>Solo</v>
      </c>
      <c r="G342" s="2">
        <f t="shared" si="50"/>
        <v>2010</v>
      </c>
      <c r="H342" s="2">
        <f t="shared" si="51"/>
        <v>13891.9</v>
      </c>
      <c r="I342" s="2">
        <f t="shared" si="52"/>
        <v>9309.2000000000007</v>
      </c>
      <c r="J342" s="2">
        <f t="shared" si="53"/>
        <v>4586.6000000000004</v>
      </c>
    </row>
    <row r="343" spans="1:10" x14ac:dyDescent="0.45">
      <c r="A343" s="2" t="s">
        <v>479</v>
      </c>
      <c r="B343" s="2" t="str">
        <f t="shared" si="45"/>
        <v>Male</v>
      </c>
      <c r="C343" s="2" t="str">
        <f t="shared" si="46"/>
        <v>Ireland</v>
      </c>
      <c r="D343" s="2" t="str">
        <f t="shared" si="47"/>
        <v>English</v>
      </c>
      <c r="E343" s="2" t="str">
        <f t="shared" si="48"/>
        <v>Pop</v>
      </c>
      <c r="F343" s="2" t="str">
        <f t="shared" si="49"/>
        <v>Solo</v>
      </c>
      <c r="G343" s="2">
        <f t="shared" si="50"/>
        <v>2010</v>
      </c>
      <c r="H343" s="2">
        <f t="shared" si="51"/>
        <v>8263</v>
      </c>
      <c r="I343" s="2">
        <f t="shared" si="52"/>
        <v>3585.1</v>
      </c>
      <c r="J343" s="2">
        <f t="shared" si="53"/>
        <v>4693.6000000000004</v>
      </c>
    </row>
    <row r="344" spans="1:10" x14ac:dyDescent="0.45">
      <c r="A344" s="2" t="s">
        <v>389</v>
      </c>
      <c r="B344" s="2" t="str">
        <f t="shared" si="45"/>
        <v>Male</v>
      </c>
      <c r="C344" s="2" t="str">
        <f t="shared" si="46"/>
        <v>Canada</v>
      </c>
      <c r="D344" s="2" t="str">
        <f t="shared" si="47"/>
        <v>English</v>
      </c>
      <c r="E344" s="2" t="str">
        <f t="shared" si="48"/>
        <v>Rock</v>
      </c>
      <c r="F344" s="2" t="str">
        <f t="shared" si="49"/>
        <v>Group</v>
      </c>
      <c r="G344" s="2">
        <f t="shared" si="50"/>
        <v>1996</v>
      </c>
      <c r="H344" s="2">
        <f t="shared" si="51"/>
        <v>9933.4</v>
      </c>
      <c r="I344" s="2">
        <f t="shared" si="52"/>
        <v>9932.9</v>
      </c>
      <c r="J344" s="2">
        <f t="shared" si="53"/>
        <v>6.1</v>
      </c>
    </row>
    <row r="345" spans="1:10" x14ac:dyDescent="0.45">
      <c r="A345" s="2" t="s">
        <v>41</v>
      </c>
      <c r="B345" s="2" t="str">
        <f t="shared" si="45"/>
        <v>Female</v>
      </c>
      <c r="C345" s="2" t="str">
        <f t="shared" si="46"/>
        <v>Trinidad and Tobago</v>
      </c>
      <c r="D345" s="2" t="str">
        <f t="shared" si="47"/>
        <v>English</v>
      </c>
      <c r="E345" s="2" t="str">
        <f t="shared" si="48"/>
        <v>Hip-Hop</v>
      </c>
      <c r="F345" s="2" t="str">
        <f t="shared" si="49"/>
        <v>Solo</v>
      </c>
      <c r="G345" s="2">
        <f t="shared" si="50"/>
        <v>2007</v>
      </c>
      <c r="H345" s="2">
        <f t="shared" si="51"/>
        <v>43330.3</v>
      </c>
      <c r="I345" s="2">
        <f t="shared" si="52"/>
        <v>16316.4</v>
      </c>
      <c r="J345" s="2">
        <f t="shared" si="53"/>
        <v>27027.9</v>
      </c>
    </row>
    <row r="346" spans="1:10" x14ac:dyDescent="0.45">
      <c r="A346" s="2" t="s">
        <v>562</v>
      </c>
      <c r="B346" s="2" t="str">
        <f t="shared" si="45"/>
        <v>Female</v>
      </c>
      <c r="C346" s="2" t="str">
        <f t="shared" si="46"/>
        <v>Argentina</v>
      </c>
      <c r="D346" s="2" t="str">
        <f t="shared" si="47"/>
        <v>Spanish</v>
      </c>
      <c r="E346" s="2" t="str">
        <f t="shared" si="48"/>
        <v>Latin</v>
      </c>
      <c r="F346" s="2" t="str">
        <f t="shared" si="49"/>
        <v>Solo</v>
      </c>
      <c r="G346" s="2">
        <f t="shared" si="50"/>
        <v>2019</v>
      </c>
      <c r="H346" s="2">
        <f t="shared" si="51"/>
        <v>7256.2</v>
      </c>
      <c r="I346" s="2">
        <f t="shared" si="52"/>
        <v>2470.4</v>
      </c>
      <c r="J346" s="2">
        <f t="shared" si="53"/>
        <v>4785.8</v>
      </c>
    </row>
    <row r="347" spans="1:10" x14ac:dyDescent="0.45">
      <c r="A347" s="2" t="s">
        <v>107</v>
      </c>
      <c r="B347" s="2" t="str">
        <f t="shared" si="45"/>
        <v>Male</v>
      </c>
      <c r="C347" s="2" t="str">
        <f t="shared" si="46"/>
        <v>United States</v>
      </c>
      <c r="D347" s="2" t="str">
        <f t="shared" si="47"/>
        <v>Spanish</v>
      </c>
      <c r="E347" s="2" t="str">
        <f t="shared" si="48"/>
        <v>Reggaeton</v>
      </c>
      <c r="F347" s="2" t="str">
        <f t="shared" si="49"/>
        <v>Solo</v>
      </c>
      <c r="G347" s="2">
        <f t="shared" si="50"/>
        <v>1995</v>
      </c>
      <c r="H347" s="2">
        <f t="shared" si="51"/>
        <v>25875.4</v>
      </c>
      <c r="I347" s="2">
        <f t="shared" si="52"/>
        <v>11175.4</v>
      </c>
      <c r="J347" s="2">
        <f t="shared" si="53"/>
        <v>14672</v>
      </c>
    </row>
    <row r="348" spans="1:10" x14ac:dyDescent="0.45">
      <c r="A348" s="2" t="s">
        <v>327</v>
      </c>
      <c r="B348" s="2" t="str">
        <f t="shared" si="45"/>
        <v>Male</v>
      </c>
      <c r="C348" s="2" t="str">
        <f t="shared" si="46"/>
        <v>France</v>
      </c>
      <c r="D348" s="2" t="str">
        <f t="shared" si="47"/>
        <v>French</v>
      </c>
      <c r="E348" s="2" t="str">
        <f t="shared" si="48"/>
        <v>Hip-Hop</v>
      </c>
      <c r="F348" s="2" t="str">
        <f t="shared" si="49"/>
        <v>Solo</v>
      </c>
      <c r="G348" s="2">
        <f t="shared" si="50"/>
        <v>2017</v>
      </c>
      <c r="H348" s="2">
        <f t="shared" si="51"/>
        <v>11459.5</v>
      </c>
      <c r="I348" s="2">
        <f t="shared" si="52"/>
        <v>7069.7</v>
      </c>
      <c r="J348" s="2">
        <f t="shared" si="53"/>
        <v>4399.6000000000004</v>
      </c>
    </row>
    <row r="349" spans="1:10" x14ac:dyDescent="0.45">
      <c r="A349" s="2" t="s">
        <v>197</v>
      </c>
      <c r="B349" s="2" t="str">
        <f t="shared" si="45"/>
        <v>Male</v>
      </c>
      <c r="C349" s="2" t="str">
        <f t="shared" si="46"/>
        <v>United States</v>
      </c>
      <c r="D349" s="2" t="str">
        <f t="shared" si="47"/>
        <v>English</v>
      </c>
      <c r="E349" s="2" t="str">
        <f t="shared" si="48"/>
        <v>Rock</v>
      </c>
      <c r="F349" s="2" t="str">
        <f t="shared" si="49"/>
        <v>Group</v>
      </c>
      <c r="G349" s="2">
        <f t="shared" si="50"/>
        <v>1989</v>
      </c>
      <c r="H349" s="2">
        <f t="shared" si="51"/>
        <v>16228.7</v>
      </c>
      <c r="I349" s="2">
        <f t="shared" si="52"/>
        <v>16236</v>
      </c>
      <c r="J349" s="2">
        <f t="shared" si="53"/>
        <v>0</v>
      </c>
    </row>
    <row r="350" spans="1:10" x14ac:dyDescent="0.45">
      <c r="A350" s="2" t="s">
        <v>463</v>
      </c>
      <c r="B350" s="2" t="str">
        <f t="shared" si="45"/>
        <v>Male</v>
      </c>
      <c r="C350" s="2" t="str">
        <f t="shared" si="46"/>
        <v>United States</v>
      </c>
      <c r="D350" s="2" t="str">
        <f t="shared" si="47"/>
        <v>English</v>
      </c>
      <c r="E350" s="2" t="str">
        <f t="shared" si="48"/>
        <v>Hip-Hop</v>
      </c>
      <c r="F350" s="2" t="str">
        <f t="shared" si="49"/>
        <v>Solo</v>
      </c>
      <c r="G350" s="2">
        <f t="shared" si="50"/>
        <v>2018</v>
      </c>
      <c r="H350" s="2">
        <f t="shared" si="51"/>
        <v>8453.7000000000007</v>
      </c>
      <c r="I350" s="2">
        <f t="shared" si="52"/>
        <v>6568.5</v>
      </c>
      <c r="J350" s="2">
        <f t="shared" si="53"/>
        <v>1885.2</v>
      </c>
    </row>
    <row r="351" spans="1:10" x14ac:dyDescent="0.45">
      <c r="A351" s="2" t="s">
        <v>258</v>
      </c>
      <c r="B351" s="2" t="str">
        <f t="shared" si="45"/>
        <v>Male</v>
      </c>
      <c r="C351" s="2" t="str">
        <f t="shared" si="46"/>
        <v>United States</v>
      </c>
      <c r="D351" s="2" t="str">
        <f t="shared" si="47"/>
        <v>English</v>
      </c>
      <c r="E351" s="2" t="str">
        <f t="shared" si="48"/>
        <v>Folk</v>
      </c>
      <c r="F351" s="2" t="str">
        <f t="shared" si="49"/>
        <v>Solo</v>
      </c>
      <c r="G351" s="2">
        <f t="shared" si="50"/>
        <v>2017</v>
      </c>
      <c r="H351" s="2">
        <f t="shared" si="51"/>
        <v>13543.1</v>
      </c>
      <c r="I351" s="2">
        <f t="shared" si="52"/>
        <v>12815.1</v>
      </c>
      <c r="J351" s="2">
        <f t="shared" si="53"/>
        <v>728</v>
      </c>
    </row>
    <row r="352" spans="1:10" x14ac:dyDescent="0.45">
      <c r="A352" s="2" t="s">
        <v>482</v>
      </c>
      <c r="B352" s="2" t="str">
        <f t="shared" si="45"/>
        <v>Male</v>
      </c>
      <c r="C352" s="2" t="str">
        <f t="shared" si="46"/>
        <v>United States</v>
      </c>
      <c r="D352" s="2" t="str">
        <f t="shared" si="47"/>
        <v>Spanish</v>
      </c>
      <c r="E352" s="2" t="str">
        <f t="shared" si="48"/>
        <v>Reggaeton</v>
      </c>
      <c r="F352" s="2" t="str">
        <f t="shared" si="49"/>
        <v>Solo</v>
      </c>
      <c r="G352" s="2">
        <f t="shared" si="50"/>
        <v>2014</v>
      </c>
      <c r="H352" s="2">
        <f t="shared" si="51"/>
        <v>8216.5</v>
      </c>
      <c r="I352" s="2">
        <f t="shared" si="52"/>
        <v>760.9</v>
      </c>
      <c r="J352" s="2">
        <f t="shared" si="53"/>
        <v>7455.6</v>
      </c>
    </row>
    <row r="353" spans="1:10" x14ac:dyDescent="0.45">
      <c r="A353" s="2" t="s">
        <v>337</v>
      </c>
      <c r="B353" s="2" t="str">
        <f t="shared" si="45"/>
        <v>Male</v>
      </c>
      <c r="C353" s="2" t="str">
        <f t="shared" si="46"/>
        <v>United Kingdom</v>
      </c>
      <c r="D353" s="2" t="str">
        <f t="shared" si="47"/>
        <v>English</v>
      </c>
      <c r="E353" s="2" t="str">
        <f t="shared" si="48"/>
        <v>Rock</v>
      </c>
      <c r="F353" s="2" t="str">
        <f t="shared" si="49"/>
        <v>Group</v>
      </c>
      <c r="G353" s="2">
        <f t="shared" si="50"/>
        <v>1994</v>
      </c>
      <c r="H353" s="2">
        <f t="shared" si="51"/>
        <v>11063.6</v>
      </c>
      <c r="I353" s="2">
        <f t="shared" si="52"/>
        <v>11073.6</v>
      </c>
      <c r="J353" s="2">
        <f t="shared" si="53"/>
        <v>0</v>
      </c>
    </row>
    <row r="354" spans="1:10" x14ac:dyDescent="0.45">
      <c r="A354" s="2" t="s">
        <v>236</v>
      </c>
      <c r="B354" s="2" t="str">
        <f t="shared" si="45"/>
        <v>Male</v>
      </c>
      <c r="C354" s="2" t="str">
        <f t="shared" si="46"/>
        <v>United States</v>
      </c>
      <c r="D354" s="2" t="str">
        <f t="shared" si="47"/>
        <v>English</v>
      </c>
      <c r="E354" s="2" t="str">
        <f t="shared" si="48"/>
        <v>Hip-Hop</v>
      </c>
      <c r="F354" s="2" t="str">
        <f t="shared" si="49"/>
        <v>Solo</v>
      </c>
      <c r="G354" s="2">
        <f t="shared" si="50"/>
        <v>2015</v>
      </c>
      <c r="H354" s="2">
        <f t="shared" si="51"/>
        <v>14402.6</v>
      </c>
      <c r="I354" s="2">
        <f t="shared" si="52"/>
        <v>13416.1</v>
      </c>
      <c r="J354" s="2">
        <f t="shared" si="53"/>
        <v>990</v>
      </c>
    </row>
    <row r="355" spans="1:10" x14ac:dyDescent="0.45">
      <c r="A355" s="2" t="s">
        <v>507</v>
      </c>
      <c r="B355" s="2" t="str">
        <f t="shared" si="45"/>
        <v>Female</v>
      </c>
      <c r="C355" s="2" t="str">
        <f t="shared" si="46"/>
        <v>United Kingdom</v>
      </c>
      <c r="D355" s="2" t="str">
        <f t="shared" si="47"/>
        <v>English</v>
      </c>
      <c r="E355" s="2" t="str">
        <f t="shared" si="48"/>
        <v>Soul</v>
      </c>
      <c r="F355" s="2" t="str">
        <f t="shared" si="49"/>
        <v>Solo</v>
      </c>
      <c r="G355" s="2">
        <f t="shared" si="50"/>
        <v>2018</v>
      </c>
      <c r="H355" s="2">
        <f t="shared" si="51"/>
        <v>7892.9</v>
      </c>
      <c r="I355" s="2">
        <f t="shared" si="52"/>
        <v>7895.6</v>
      </c>
      <c r="J355" s="2">
        <f t="shared" si="53"/>
        <v>0</v>
      </c>
    </row>
    <row r="356" spans="1:10" x14ac:dyDescent="0.45">
      <c r="A356" s="2" t="s">
        <v>94</v>
      </c>
      <c r="B356" s="2" t="str">
        <f t="shared" si="45"/>
        <v>Female</v>
      </c>
      <c r="C356" s="2" t="str">
        <f t="shared" si="46"/>
        <v>United States</v>
      </c>
      <c r="D356" s="2" t="str">
        <f t="shared" si="47"/>
        <v>English</v>
      </c>
      <c r="E356" s="2" t="str">
        <f t="shared" si="48"/>
        <v>Pop</v>
      </c>
      <c r="F356" s="2" t="str">
        <f t="shared" si="49"/>
        <v>Solo</v>
      </c>
      <c r="G356" s="2">
        <f t="shared" si="50"/>
        <v>2021</v>
      </c>
      <c r="H356" s="2">
        <f t="shared" si="51"/>
        <v>28799.7</v>
      </c>
      <c r="I356" s="2">
        <f t="shared" si="52"/>
        <v>28797.599999999999</v>
      </c>
      <c r="J356" s="2">
        <f t="shared" si="53"/>
        <v>2.2000000000000002</v>
      </c>
    </row>
    <row r="357" spans="1:10" x14ac:dyDescent="0.45">
      <c r="A357" s="2" t="s">
        <v>581</v>
      </c>
      <c r="B357" s="2" t="str">
        <f t="shared" si="45"/>
        <v>Male</v>
      </c>
      <c r="C357" s="2" t="str">
        <f t="shared" si="46"/>
        <v>United States</v>
      </c>
      <c r="D357" s="2" t="str">
        <f t="shared" si="47"/>
        <v>Spanish</v>
      </c>
      <c r="E357" s="2" t="str">
        <f t="shared" si="48"/>
        <v>Reggaeton</v>
      </c>
      <c r="F357" s="2" t="str">
        <f t="shared" si="49"/>
        <v>Solo</v>
      </c>
      <c r="G357" s="2">
        <f t="shared" si="50"/>
        <v>2017</v>
      </c>
      <c r="H357" s="2">
        <f t="shared" si="51"/>
        <v>6972</v>
      </c>
      <c r="I357" s="2">
        <f t="shared" si="52"/>
        <v>6956</v>
      </c>
      <c r="J357" s="2">
        <f t="shared" si="53"/>
        <v>20.3</v>
      </c>
    </row>
    <row r="358" spans="1:10" x14ac:dyDescent="0.45">
      <c r="A358" s="2" t="s">
        <v>92</v>
      </c>
      <c r="B358" s="2" t="str">
        <f t="shared" si="45"/>
        <v>Mixed</v>
      </c>
      <c r="C358" s="2" t="str">
        <f t="shared" si="46"/>
        <v>United Kingdom</v>
      </c>
      <c r="D358" s="2" t="str">
        <f t="shared" si="47"/>
        <v>English</v>
      </c>
      <c r="E358" s="2" t="str">
        <f t="shared" si="48"/>
        <v>Pop</v>
      </c>
      <c r="F358" s="2" t="str">
        <f t="shared" si="49"/>
        <v>Group</v>
      </c>
      <c r="G358" s="2">
        <f t="shared" si="50"/>
        <v>2011</v>
      </c>
      <c r="H358" s="2">
        <f t="shared" si="51"/>
        <v>28889.5</v>
      </c>
      <c r="I358" s="2">
        <f t="shared" si="52"/>
        <v>28898.2</v>
      </c>
      <c r="J358" s="2">
        <f t="shared" si="53"/>
        <v>0</v>
      </c>
    </row>
    <row r="359" spans="1:10" x14ac:dyDescent="0.45">
      <c r="A359" s="2" t="s">
        <v>132</v>
      </c>
      <c r="B359" s="2" t="str">
        <f t="shared" si="45"/>
        <v>Mixed</v>
      </c>
      <c r="C359" s="2" t="str">
        <f t="shared" si="46"/>
        <v>United States</v>
      </c>
      <c r="D359" s="2" t="str">
        <f t="shared" si="47"/>
        <v>English</v>
      </c>
      <c r="E359" s="2" t="str">
        <f t="shared" si="48"/>
        <v>Pop</v>
      </c>
      <c r="F359" s="2" t="str">
        <f t="shared" si="49"/>
        <v>Group</v>
      </c>
      <c r="G359" s="2">
        <f t="shared" si="50"/>
        <v>2007</v>
      </c>
      <c r="H359" s="2">
        <f t="shared" si="51"/>
        <v>21182.2</v>
      </c>
      <c r="I359" s="2">
        <f t="shared" si="52"/>
        <v>19519.400000000001</v>
      </c>
      <c r="J359" s="2">
        <f t="shared" si="53"/>
        <v>1669.7</v>
      </c>
    </row>
    <row r="360" spans="1:10" x14ac:dyDescent="0.45">
      <c r="A360" s="2" t="s">
        <v>404</v>
      </c>
      <c r="B360" s="2" t="str">
        <f t="shared" si="45"/>
        <v>Male</v>
      </c>
      <c r="C360" s="2" t="str">
        <f t="shared" si="46"/>
        <v>Mexico</v>
      </c>
      <c r="D360" s="2" t="str">
        <f t="shared" si="47"/>
        <v>Spanish</v>
      </c>
      <c r="E360" s="2" t="str">
        <f t="shared" si="48"/>
        <v>Latin</v>
      </c>
      <c r="F360" s="2" t="str">
        <f t="shared" si="49"/>
        <v>Solo</v>
      </c>
      <c r="G360" s="2">
        <f t="shared" si="50"/>
        <v>2020</v>
      </c>
      <c r="H360" s="2">
        <f t="shared" si="51"/>
        <v>9609</v>
      </c>
      <c r="I360" s="2">
        <f t="shared" si="52"/>
        <v>5573.7</v>
      </c>
      <c r="J360" s="2">
        <f t="shared" si="53"/>
        <v>4061</v>
      </c>
    </row>
    <row r="361" spans="1:10" x14ac:dyDescent="0.45">
      <c r="A361" s="2" t="s">
        <v>506</v>
      </c>
      <c r="B361" s="2" t="str">
        <f t="shared" si="45"/>
        <v>Male</v>
      </c>
      <c r="C361" s="2" t="str">
        <f t="shared" si="46"/>
        <v>Colombia</v>
      </c>
      <c r="D361" s="2" t="str">
        <f t="shared" si="47"/>
        <v>Spanish</v>
      </c>
      <c r="E361" s="2" t="str">
        <f t="shared" si="48"/>
        <v>Reggaeton</v>
      </c>
      <c r="F361" s="2" t="str">
        <f t="shared" si="49"/>
        <v>Solo</v>
      </c>
      <c r="G361" s="2">
        <f t="shared" si="50"/>
        <v>2016</v>
      </c>
      <c r="H361" s="2">
        <f t="shared" si="51"/>
        <v>7921.6</v>
      </c>
      <c r="I361" s="2">
        <f t="shared" si="52"/>
        <v>7400.3</v>
      </c>
      <c r="J361" s="2">
        <f t="shared" si="53"/>
        <v>508.4</v>
      </c>
    </row>
    <row r="362" spans="1:10" x14ac:dyDescent="0.45">
      <c r="A362" s="2" t="s">
        <v>36</v>
      </c>
      <c r="B362" s="2" t="str">
        <f t="shared" si="45"/>
        <v>Male</v>
      </c>
      <c r="C362" s="2" t="str">
        <f t="shared" si="46"/>
        <v>United States</v>
      </c>
      <c r="D362" s="2" t="str">
        <f t="shared" si="47"/>
        <v>Spanish</v>
      </c>
      <c r="E362" s="2" t="str">
        <f t="shared" si="48"/>
        <v>Reggaeton</v>
      </c>
      <c r="F362" s="2" t="str">
        <f t="shared" si="49"/>
        <v>Solo</v>
      </c>
      <c r="G362" s="2">
        <f t="shared" si="50"/>
        <v>2012</v>
      </c>
      <c r="H362" s="2">
        <f t="shared" si="51"/>
        <v>47649.2</v>
      </c>
      <c r="I362" s="2">
        <f t="shared" si="52"/>
        <v>20247.099999999999</v>
      </c>
      <c r="J362" s="2">
        <f t="shared" si="53"/>
        <v>27418.9</v>
      </c>
    </row>
    <row r="363" spans="1:10" x14ac:dyDescent="0.45">
      <c r="A363" s="2" t="s">
        <v>196</v>
      </c>
      <c r="B363" s="2" t="str">
        <f t="shared" si="45"/>
        <v>Female</v>
      </c>
      <c r="C363" s="2" t="str">
        <f t="shared" si="46"/>
        <v>United States</v>
      </c>
      <c r="D363" s="2" t="str">
        <f t="shared" si="47"/>
        <v>English</v>
      </c>
      <c r="E363" s="2" t="str">
        <f t="shared" si="48"/>
        <v>Pop</v>
      </c>
      <c r="F363" s="2" t="str">
        <f t="shared" si="49"/>
        <v>Solo</v>
      </c>
      <c r="G363" s="2">
        <f t="shared" si="50"/>
        <v>2000</v>
      </c>
      <c r="H363" s="2">
        <f t="shared" si="51"/>
        <v>16271.6</v>
      </c>
      <c r="I363" s="2">
        <f t="shared" si="52"/>
        <v>7125.4</v>
      </c>
      <c r="J363" s="2">
        <f t="shared" si="53"/>
        <v>9125</v>
      </c>
    </row>
    <row r="364" spans="1:10" x14ac:dyDescent="0.45">
      <c r="A364" s="2" t="s">
        <v>237</v>
      </c>
      <c r="B364" s="2" t="str">
        <f t="shared" si="45"/>
        <v>Male</v>
      </c>
      <c r="C364" s="2" t="str">
        <f t="shared" si="46"/>
        <v>United States</v>
      </c>
      <c r="D364" s="2" t="str">
        <f t="shared" si="47"/>
        <v>English</v>
      </c>
      <c r="E364" s="2" t="str">
        <f t="shared" si="48"/>
        <v>Rock</v>
      </c>
      <c r="F364" s="2" t="str">
        <f t="shared" si="49"/>
        <v>Group</v>
      </c>
      <c r="G364" s="2">
        <f t="shared" si="50"/>
        <v>2005</v>
      </c>
      <c r="H364" s="2">
        <f t="shared" si="51"/>
        <v>14402.3</v>
      </c>
      <c r="I364" s="2">
        <f t="shared" si="52"/>
        <v>4417.2</v>
      </c>
      <c r="J364" s="2">
        <f t="shared" si="53"/>
        <v>9988.5</v>
      </c>
    </row>
    <row r="365" spans="1:10" x14ac:dyDescent="0.45">
      <c r="A365" s="2" t="s">
        <v>325</v>
      </c>
      <c r="B365" s="2" t="str">
        <f t="shared" si="45"/>
        <v>Mixed</v>
      </c>
      <c r="C365" s="2" t="str">
        <f t="shared" si="46"/>
        <v>United States</v>
      </c>
      <c r="D365" s="2" t="str">
        <f t="shared" si="47"/>
        <v>English</v>
      </c>
      <c r="E365" s="2" t="str">
        <f t="shared" si="48"/>
        <v>Rock</v>
      </c>
      <c r="F365" s="2" t="str">
        <f t="shared" si="49"/>
        <v>Group</v>
      </c>
      <c r="G365" s="2">
        <f t="shared" si="50"/>
        <v>2005</v>
      </c>
      <c r="H365" s="2">
        <f t="shared" si="51"/>
        <v>11480.4</v>
      </c>
      <c r="I365" s="2">
        <f t="shared" si="52"/>
        <v>8241.1</v>
      </c>
      <c r="J365" s="2">
        <f t="shared" si="53"/>
        <v>3243.6</v>
      </c>
    </row>
    <row r="366" spans="1:10" x14ac:dyDescent="0.45">
      <c r="A366" s="2" t="s">
        <v>234</v>
      </c>
      <c r="B366" s="2" t="str">
        <f t="shared" si="45"/>
        <v>Male</v>
      </c>
      <c r="C366" s="2" t="str">
        <f t="shared" si="46"/>
        <v>Canada</v>
      </c>
      <c r="D366" s="2" t="str">
        <f t="shared" si="47"/>
        <v>English</v>
      </c>
      <c r="E366" s="2" t="str">
        <f t="shared" si="48"/>
        <v>R&amp;B</v>
      </c>
      <c r="F366" s="2" t="str">
        <f t="shared" si="49"/>
        <v>Solo</v>
      </c>
      <c r="G366" s="2">
        <f t="shared" si="50"/>
        <v>2013</v>
      </c>
      <c r="H366" s="2">
        <f t="shared" si="51"/>
        <v>14506.3</v>
      </c>
      <c r="I366" s="2">
        <f t="shared" si="52"/>
        <v>13237.2</v>
      </c>
      <c r="J366" s="2">
        <f t="shared" si="53"/>
        <v>1275</v>
      </c>
    </row>
    <row r="367" spans="1:10" x14ac:dyDescent="0.45">
      <c r="A367" s="2" t="s">
        <v>378</v>
      </c>
      <c r="B367" s="2" t="str">
        <f t="shared" si="45"/>
        <v>Male</v>
      </c>
      <c r="C367" s="2" t="str">
        <f t="shared" si="46"/>
        <v>Argentina</v>
      </c>
      <c r="D367" s="2" t="str">
        <f t="shared" si="47"/>
        <v>Spanish</v>
      </c>
      <c r="E367" s="2" t="str">
        <f t="shared" si="48"/>
        <v>Hip-Hop</v>
      </c>
      <c r="F367" s="2" t="str">
        <f t="shared" si="49"/>
        <v>Solo</v>
      </c>
      <c r="G367" s="2">
        <f t="shared" si="50"/>
        <v>2017</v>
      </c>
      <c r="H367" s="2">
        <f t="shared" si="51"/>
        <v>10160.5</v>
      </c>
      <c r="I367" s="2">
        <f t="shared" si="52"/>
        <v>8082</v>
      </c>
      <c r="J367" s="2">
        <f t="shared" si="53"/>
        <v>2081.6999999999998</v>
      </c>
    </row>
    <row r="368" spans="1:10" x14ac:dyDescent="0.45">
      <c r="A368" s="2" t="s">
        <v>525</v>
      </c>
      <c r="B368" s="2" t="str">
        <f t="shared" si="45"/>
        <v>Male</v>
      </c>
      <c r="C368" s="2" t="str">
        <f t="shared" si="46"/>
        <v>United States</v>
      </c>
      <c r="D368" s="2" t="str">
        <f t="shared" si="47"/>
        <v>English</v>
      </c>
      <c r="E368" s="2" t="str">
        <f t="shared" si="48"/>
        <v>Rock</v>
      </c>
      <c r="F368" s="2" t="str">
        <f t="shared" si="49"/>
        <v>Group</v>
      </c>
      <c r="G368" s="2">
        <f t="shared" si="50"/>
        <v>1991</v>
      </c>
      <c r="H368" s="2">
        <f t="shared" si="51"/>
        <v>7673.1</v>
      </c>
      <c r="I368" s="2">
        <f t="shared" si="52"/>
        <v>7673.1</v>
      </c>
      <c r="J368" s="2">
        <f t="shared" si="53"/>
        <v>0</v>
      </c>
    </row>
    <row r="369" spans="1:10" x14ac:dyDescent="0.45">
      <c r="A369" s="2" t="s">
        <v>75</v>
      </c>
      <c r="B369" s="2" t="str">
        <f t="shared" si="45"/>
        <v>Male</v>
      </c>
      <c r="C369" s="2" t="str">
        <f t="shared" si="46"/>
        <v>Mexico</v>
      </c>
      <c r="D369" s="2" t="str">
        <f t="shared" si="47"/>
        <v>Spanish</v>
      </c>
      <c r="E369" s="2" t="str">
        <f t="shared" si="48"/>
        <v>Regional Mexican</v>
      </c>
      <c r="F369" s="2" t="str">
        <f t="shared" si="49"/>
        <v>Solo</v>
      </c>
      <c r="G369" s="2">
        <f t="shared" si="50"/>
        <v>2020</v>
      </c>
      <c r="H369" s="2">
        <f t="shared" si="51"/>
        <v>33179.800000000003</v>
      </c>
      <c r="I369" s="2">
        <f t="shared" si="52"/>
        <v>18699.099999999999</v>
      </c>
      <c r="J369" s="2">
        <f t="shared" si="53"/>
        <v>14501.2</v>
      </c>
    </row>
    <row r="370" spans="1:10" x14ac:dyDescent="0.45">
      <c r="A370" s="2" t="s">
        <v>202</v>
      </c>
      <c r="B370" s="2" t="str">
        <f t="shared" si="45"/>
        <v>Male</v>
      </c>
      <c r="C370" s="2" t="str">
        <f t="shared" si="46"/>
        <v>United States</v>
      </c>
      <c r="D370" s="2" t="str">
        <f t="shared" si="47"/>
        <v>English</v>
      </c>
      <c r="E370" s="2" t="str">
        <f t="shared" si="48"/>
        <v>Hip-Hop</v>
      </c>
      <c r="F370" s="2" t="str">
        <f t="shared" si="49"/>
        <v>Solo</v>
      </c>
      <c r="G370" s="2">
        <f t="shared" si="50"/>
        <v>2006</v>
      </c>
      <c r="H370" s="2">
        <f t="shared" si="51"/>
        <v>15952.2</v>
      </c>
      <c r="I370" s="2">
        <f t="shared" si="52"/>
        <v>4000.7</v>
      </c>
      <c r="J370" s="2">
        <f t="shared" si="53"/>
        <v>11957.2</v>
      </c>
    </row>
    <row r="371" spans="1:10" x14ac:dyDescent="0.45">
      <c r="A371" s="2" t="s">
        <v>501</v>
      </c>
      <c r="B371" s="2" t="str">
        <f t="shared" si="45"/>
        <v>Male</v>
      </c>
      <c r="C371" s="2" t="str">
        <f t="shared" si="46"/>
        <v>United Kingdom</v>
      </c>
      <c r="D371" s="2" t="str">
        <f t="shared" si="47"/>
        <v>English</v>
      </c>
      <c r="E371" s="2" t="str">
        <f t="shared" si="48"/>
        <v>Pop</v>
      </c>
      <c r="F371" s="2" t="str">
        <f t="shared" si="49"/>
        <v>Solo</v>
      </c>
      <c r="G371" s="2">
        <f t="shared" si="50"/>
        <v>1981</v>
      </c>
      <c r="H371" s="2">
        <f t="shared" si="51"/>
        <v>7940.4</v>
      </c>
      <c r="I371" s="2">
        <f t="shared" si="52"/>
        <v>7942.6</v>
      </c>
      <c r="J371" s="2">
        <f t="shared" si="53"/>
        <v>0</v>
      </c>
    </row>
    <row r="372" spans="1:10" x14ac:dyDescent="0.45">
      <c r="A372" s="2" t="s">
        <v>265</v>
      </c>
      <c r="B372" s="2" t="str">
        <f t="shared" si="45"/>
        <v>Male</v>
      </c>
      <c r="C372" s="2" t="str">
        <f t="shared" si="46"/>
        <v>United Kingdom</v>
      </c>
      <c r="D372" s="2" t="str">
        <f t="shared" si="47"/>
        <v>English</v>
      </c>
      <c r="E372" s="2" t="str">
        <f t="shared" si="48"/>
        <v>Rock</v>
      </c>
      <c r="F372" s="2" t="str">
        <f t="shared" si="49"/>
        <v>Group</v>
      </c>
      <c r="G372" s="2">
        <f t="shared" si="50"/>
        <v>1967</v>
      </c>
      <c r="H372" s="2">
        <f t="shared" si="51"/>
        <v>13404.2</v>
      </c>
      <c r="I372" s="2">
        <f t="shared" si="52"/>
        <v>11623.7</v>
      </c>
      <c r="J372" s="2">
        <f t="shared" si="53"/>
        <v>1790.5</v>
      </c>
    </row>
    <row r="373" spans="1:10" x14ac:dyDescent="0.45">
      <c r="A373" s="2" t="s">
        <v>489</v>
      </c>
      <c r="B373" s="2" t="str">
        <f t="shared" si="45"/>
        <v>Male</v>
      </c>
      <c r="C373" s="2" t="str">
        <f t="shared" si="46"/>
        <v>Colombia</v>
      </c>
      <c r="D373" s="2" t="str">
        <f t="shared" si="47"/>
        <v>Spanish</v>
      </c>
      <c r="E373" s="2" t="str">
        <f t="shared" si="48"/>
        <v>Latin</v>
      </c>
      <c r="F373" s="2" t="str">
        <f t="shared" si="49"/>
        <v>Group</v>
      </c>
      <c r="G373" s="2">
        <f t="shared" si="50"/>
        <v>2012</v>
      </c>
      <c r="H373" s="2">
        <f t="shared" si="51"/>
        <v>8164.9</v>
      </c>
      <c r="I373" s="2">
        <f t="shared" si="52"/>
        <v>7391.5</v>
      </c>
      <c r="J373" s="2">
        <f t="shared" si="53"/>
        <v>775.8</v>
      </c>
    </row>
    <row r="374" spans="1:10" x14ac:dyDescent="0.45">
      <c r="A374" s="2" t="s">
        <v>106</v>
      </c>
      <c r="B374" s="2" t="str">
        <f t="shared" si="45"/>
        <v>Male</v>
      </c>
      <c r="C374" s="2" t="str">
        <f t="shared" si="46"/>
        <v>United States</v>
      </c>
      <c r="D374" s="2" t="str">
        <f t="shared" si="47"/>
        <v>English</v>
      </c>
      <c r="E374" s="2" t="str">
        <f t="shared" si="48"/>
        <v>Pop</v>
      </c>
      <c r="F374" s="2" t="str">
        <f t="shared" si="49"/>
        <v>Solo</v>
      </c>
      <c r="G374" s="2">
        <f t="shared" si="50"/>
        <v>2004</v>
      </c>
      <c r="H374" s="2">
        <f t="shared" si="51"/>
        <v>25875.8</v>
      </c>
      <c r="I374" s="2">
        <f t="shared" si="52"/>
        <v>18250.900000000001</v>
      </c>
      <c r="J374" s="2">
        <f t="shared" si="53"/>
        <v>7641</v>
      </c>
    </row>
    <row r="375" spans="1:10" x14ac:dyDescent="0.45">
      <c r="A375" s="2" t="s">
        <v>364</v>
      </c>
      <c r="B375" s="2" t="str">
        <f t="shared" si="45"/>
        <v>Male</v>
      </c>
      <c r="C375" s="2" t="str">
        <f t="shared" si="46"/>
        <v>United Kingdom</v>
      </c>
      <c r="D375" s="2" t="str">
        <f t="shared" si="47"/>
        <v>English</v>
      </c>
      <c r="E375" s="2" t="str">
        <f t="shared" si="48"/>
        <v>Hip-Hop</v>
      </c>
      <c r="F375" s="2" t="str">
        <f t="shared" si="49"/>
        <v>Solo</v>
      </c>
      <c r="G375" s="2">
        <f t="shared" si="50"/>
        <v>2006</v>
      </c>
      <c r="H375" s="2">
        <f t="shared" si="51"/>
        <v>10449</v>
      </c>
      <c r="I375" s="2">
        <f t="shared" si="52"/>
        <v>7062.7</v>
      </c>
      <c r="J375" s="2">
        <f t="shared" si="53"/>
        <v>3394.7</v>
      </c>
    </row>
    <row r="376" spans="1:10" x14ac:dyDescent="0.45">
      <c r="A376" s="2" t="s">
        <v>108</v>
      </c>
      <c r="B376" s="2" t="str">
        <f t="shared" si="45"/>
        <v>Male</v>
      </c>
      <c r="C376" s="2" t="str">
        <f t="shared" si="46"/>
        <v>United States</v>
      </c>
      <c r="D376" s="2" t="str">
        <f t="shared" si="47"/>
        <v>English</v>
      </c>
      <c r="E376" s="2" t="str">
        <f t="shared" si="48"/>
        <v>Hip-Hop</v>
      </c>
      <c r="F376" s="2" t="str">
        <f t="shared" si="49"/>
        <v>Solo</v>
      </c>
      <c r="G376" s="2">
        <f t="shared" si="50"/>
        <v>2011</v>
      </c>
      <c r="H376" s="2">
        <f t="shared" si="51"/>
        <v>25818.400000000001</v>
      </c>
      <c r="I376" s="2">
        <f t="shared" si="52"/>
        <v>15382.2</v>
      </c>
      <c r="J376" s="2">
        <f t="shared" si="53"/>
        <v>10446.9</v>
      </c>
    </row>
    <row r="377" spans="1:10" x14ac:dyDescent="0.45">
      <c r="A377" s="2" t="s">
        <v>217</v>
      </c>
      <c r="B377" s="2" t="str">
        <f t="shared" si="45"/>
        <v>Male</v>
      </c>
      <c r="C377" s="2" t="str">
        <f t="shared" si="46"/>
        <v>United States</v>
      </c>
      <c r="D377" s="2" t="str">
        <f t="shared" si="47"/>
        <v>English</v>
      </c>
      <c r="E377" s="2" t="str">
        <f t="shared" si="48"/>
        <v>Hip-Hop</v>
      </c>
      <c r="F377" s="2" t="str">
        <f t="shared" si="49"/>
        <v>Solo</v>
      </c>
      <c r="G377" s="2">
        <f t="shared" si="50"/>
        <v>2017</v>
      </c>
      <c r="H377" s="2">
        <f t="shared" si="51"/>
        <v>15252.2</v>
      </c>
      <c r="I377" s="2">
        <f t="shared" si="52"/>
        <v>13192.5</v>
      </c>
      <c r="J377" s="2">
        <f t="shared" si="53"/>
        <v>2067.1</v>
      </c>
    </row>
    <row r="378" spans="1:10" x14ac:dyDescent="0.45">
      <c r="A378" s="2" t="s">
        <v>198</v>
      </c>
      <c r="B378" s="2" t="str">
        <f t="shared" si="45"/>
        <v>Male</v>
      </c>
      <c r="C378" s="2" t="str">
        <f t="shared" si="46"/>
        <v>United States</v>
      </c>
      <c r="D378" s="2" t="str">
        <f t="shared" si="47"/>
        <v>English</v>
      </c>
      <c r="E378" s="2" t="str">
        <f t="shared" si="48"/>
        <v>Hip-Hop</v>
      </c>
      <c r="F378" s="2" t="str">
        <f t="shared" si="49"/>
        <v>Solo</v>
      </c>
      <c r="G378" s="2">
        <f t="shared" si="50"/>
        <v>2018</v>
      </c>
      <c r="H378" s="2">
        <f t="shared" si="51"/>
        <v>16217.4</v>
      </c>
      <c r="I378" s="2">
        <f t="shared" si="52"/>
        <v>14631.5</v>
      </c>
      <c r="J378" s="2">
        <f t="shared" si="53"/>
        <v>1588.4</v>
      </c>
    </row>
    <row r="379" spans="1:10" x14ac:dyDescent="0.45">
      <c r="A379" s="2" t="s">
        <v>27</v>
      </c>
      <c r="B379" s="2" t="str">
        <f t="shared" si="45"/>
        <v>Male</v>
      </c>
      <c r="C379" s="2" t="str">
        <f t="shared" si="46"/>
        <v>United States</v>
      </c>
      <c r="D379" s="2" t="str">
        <f t="shared" si="47"/>
        <v>English</v>
      </c>
      <c r="E379" s="2" t="str">
        <f t="shared" si="48"/>
        <v>Pop</v>
      </c>
      <c r="F379" s="2" t="str">
        <f t="shared" si="49"/>
        <v>Solo</v>
      </c>
      <c r="G379" s="2">
        <f t="shared" si="50"/>
        <v>2011</v>
      </c>
      <c r="H379" s="2">
        <f t="shared" si="51"/>
        <v>55028.3</v>
      </c>
      <c r="I379" s="2">
        <f t="shared" si="52"/>
        <v>48805.599999999999</v>
      </c>
      <c r="J379" s="2">
        <f t="shared" si="53"/>
        <v>6235.6</v>
      </c>
    </row>
    <row r="380" spans="1:10" x14ac:dyDescent="0.45">
      <c r="A380" s="2" t="s">
        <v>408</v>
      </c>
      <c r="B380" s="2" t="str">
        <f t="shared" si="45"/>
        <v>Male</v>
      </c>
      <c r="C380" s="2" t="str">
        <f t="shared" si="46"/>
        <v>United States</v>
      </c>
      <c r="D380" s="2" t="str">
        <f t="shared" si="47"/>
        <v>Spanish</v>
      </c>
      <c r="E380" s="2" t="str">
        <f t="shared" si="48"/>
        <v>Bachata</v>
      </c>
      <c r="F380" s="2" t="str">
        <f t="shared" si="49"/>
        <v>Solo</v>
      </c>
      <c r="G380" s="2">
        <f t="shared" si="50"/>
        <v>2010</v>
      </c>
      <c r="H380" s="2">
        <f t="shared" si="51"/>
        <v>9495.2000000000007</v>
      </c>
      <c r="I380" s="2">
        <f t="shared" si="52"/>
        <v>6483.6</v>
      </c>
      <c r="J380" s="2">
        <f t="shared" si="53"/>
        <v>3011.7</v>
      </c>
    </row>
    <row r="381" spans="1:10" x14ac:dyDescent="0.45">
      <c r="A381" s="2" t="s">
        <v>96</v>
      </c>
      <c r="B381" s="2" t="str">
        <f t="shared" si="45"/>
        <v>Male</v>
      </c>
      <c r="C381" s="2" t="str">
        <f t="shared" si="46"/>
        <v>India</v>
      </c>
      <c r="D381" s="2" t="str">
        <f t="shared" si="47"/>
        <v>Hindi</v>
      </c>
      <c r="E381" s="2" t="str">
        <f t="shared" si="48"/>
        <v>Pop</v>
      </c>
      <c r="F381" s="2" t="str">
        <f t="shared" si="49"/>
        <v>Solo</v>
      </c>
      <c r="G381" s="2">
        <f t="shared" si="50"/>
        <v>2001</v>
      </c>
      <c r="H381" s="2">
        <f t="shared" si="51"/>
        <v>28543.9</v>
      </c>
      <c r="I381" s="2">
        <f t="shared" si="52"/>
        <v>25181.4</v>
      </c>
      <c r="J381" s="2">
        <f t="shared" si="53"/>
        <v>3362.5</v>
      </c>
    </row>
    <row r="382" spans="1:10" x14ac:dyDescent="0.45">
      <c r="A382" s="2" t="s">
        <v>151</v>
      </c>
      <c r="B382" s="2" t="str">
        <f t="shared" si="45"/>
        <v>Male</v>
      </c>
      <c r="C382" s="2" t="str">
        <f t="shared" si="46"/>
        <v>United States</v>
      </c>
      <c r="D382" s="2" t="str">
        <f t="shared" si="47"/>
        <v>English</v>
      </c>
      <c r="E382" s="2" t="str">
        <f t="shared" si="48"/>
        <v>Hip-Hop</v>
      </c>
      <c r="F382" s="2" t="str">
        <f t="shared" si="49"/>
        <v>Solo</v>
      </c>
      <c r="G382" s="2">
        <f t="shared" si="50"/>
        <v>2008</v>
      </c>
      <c r="H382" s="2">
        <f t="shared" si="51"/>
        <v>19383.5</v>
      </c>
      <c r="I382" s="2">
        <f t="shared" si="52"/>
        <v>2977.3</v>
      </c>
      <c r="J382" s="2">
        <f t="shared" si="53"/>
        <v>16406.099999999999</v>
      </c>
    </row>
    <row r="383" spans="1:10" x14ac:dyDescent="0.45">
      <c r="A383" s="2" t="s">
        <v>90</v>
      </c>
      <c r="B383" s="2" t="str">
        <f t="shared" si="45"/>
        <v>Male</v>
      </c>
      <c r="C383" s="2" t="str">
        <f t="shared" si="46"/>
        <v>United Kingdom</v>
      </c>
      <c r="D383" s="2" t="str">
        <f t="shared" si="47"/>
        <v>English</v>
      </c>
      <c r="E383" s="2" t="str">
        <f t="shared" si="48"/>
        <v>Rock</v>
      </c>
      <c r="F383" s="2" t="str">
        <f t="shared" si="49"/>
        <v>Group</v>
      </c>
      <c r="G383" s="2">
        <f t="shared" si="50"/>
        <v>1973</v>
      </c>
      <c r="H383" s="2">
        <f t="shared" si="51"/>
        <v>29370</v>
      </c>
      <c r="I383" s="2">
        <f t="shared" si="52"/>
        <v>29307.599999999999</v>
      </c>
      <c r="J383" s="2">
        <f t="shared" si="53"/>
        <v>70.8</v>
      </c>
    </row>
    <row r="384" spans="1:10" x14ac:dyDescent="0.45">
      <c r="A384" s="2" t="s">
        <v>239</v>
      </c>
      <c r="B384" s="2" t="str">
        <f t="shared" si="45"/>
        <v>Male</v>
      </c>
      <c r="C384" s="2" t="str">
        <f t="shared" si="46"/>
        <v>Spain</v>
      </c>
      <c r="D384" s="2" t="str">
        <f t="shared" si="47"/>
        <v>Spanish</v>
      </c>
      <c r="E384" s="2" t="str">
        <f t="shared" si="48"/>
        <v>Reggaeton</v>
      </c>
      <c r="F384" s="2" t="str">
        <f t="shared" si="49"/>
        <v>Solo</v>
      </c>
      <c r="G384" s="2">
        <f t="shared" si="50"/>
        <v>2020</v>
      </c>
      <c r="H384" s="2">
        <f t="shared" si="51"/>
        <v>14345.2</v>
      </c>
      <c r="I384" s="2">
        <f t="shared" si="52"/>
        <v>7659.9</v>
      </c>
      <c r="J384" s="2">
        <f t="shared" si="53"/>
        <v>6698.1</v>
      </c>
    </row>
    <row r="385" spans="1:10" x14ac:dyDescent="0.45">
      <c r="A385" s="2" t="s">
        <v>193</v>
      </c>
      <c r="B385" s="2" t="str">
        <f t="shared" si="45"/>
        <v>Male</v>
      </c>
      <c r="C385" s="2" t="str">
        <f t="shared" si="46"/>
        <v>United Kingdom</v>
      </c>
      <c r="D385" s="2" t="str">
        <f t="shared" si="47"/>
        <v>English</v>
      </c>
      <c r="E385" s="2" t="str">
        <f t="shared" si="48"/>
        <v>Rock</v>
      </c>
      <c r="F385" s="2" t="str">
        <f t="shared" si="49"/>
        <v>Group</v>
      </c>
      <c r="G385" s="2">
        <f t="shared" si="50"/>
        <v>1992</v>
      </c>
      <c r="H385" s="2">
        <f t="shared" si="51"/>
        <v>16454.900000000001</v>
      </c>
      <c r="I385" s="2">
        <f t="shared" si="52"/>
        <v>16461.5</v>
      </c>
      <c r="J385" s="2">
        <f t="shared" si="53"/>
        <v>3</v>
      </c>
    </row>
    <row r="386" spans="1:10" x14ac:dyDescent="0.45">
      <c r="A386" s="2" t="s">
        <v>496</v>
      </c>
      <c r="B386" s="2" t="str">
        <f t="shared" ref="B386:B449" si="54">VLOOKUP(A386,Spotify1,2,FALSE)</f>
        <v>Male</v>
      </c>
      <c r="C386" s="2" t="str">
        <f t="shared" ref="C386:C449" si="55">VLOOKUP(A386,Spotify1,3,FALSE)</f>
        <v>United States</v>
      </c>
      <c r="D386" s="2" t="str">
        <f t="shared" ref="D386:D449" si="56">VLOOKUP(A386,Spotify1,4,FALSE)</f>
        <v>English</v>
      </c>
      <c r="E386" s="2" t="str">
        <f t="shared" ref="E386:E449" si="57">VLOOKUP(A386,Spotify1,5,FALSE)</f>
        <v>Hip-Hop</v>
      </c>
      <c r="F386" s="2" t="str">
        <f t="shared" ref="F386:F449" si="58">VLOOKUP(A386,Spotify1,6,FALSE)</f>
        <v>Group</v>
      </c>
      <c r="G386" s="2">
        <f t="shared" ref="G386:G449" si="59">VLOOKUP(A386,Spotify1,7,FALSE)</f>
        <v>2013</v>
      </c>
      <c r="H386" s="2">
        <f t="shared" ref="H386:H449" si="60">VLOOKUP(A386,Spotify1,8,FALSE)</f>
        <v>8030.3</v>
      </c>
      <c r="I386" s="2">
        <f t="shared" ref="I386:I449" si="61">VLOOKUP(A386,Spotify1,9,FALSE)</f>
        <v>7270.4</v>
      </c>
      <c r="J386" s="2">
        <f t="shared" ref="J386:J449" si="62">VLOOKUP(A386,Spotify1,10,FALSE)</f>
        <v>754.2</v>
      </c>
    </row>
    <row r="387" spans="1:10" x14ac:dyDescent="0.45">
      <c r="A387" s="2" t="s">
        <v>520</v>
      </c>
      <c r="B387" s="2" t="str">
        <f t="shared" si="54"/>
        <v>Male</v>
      </c>
      <c r="C387" s="2" t="str">
        <f t="shared" si="55"/>
        <v>Austria</v>
      </c>
      <c r="D387" s="2" t="str">
        <f t="shared" si="56"/>
        <v>German</v>
      </c>
      <c r="E387" s="2" t="str">
        <f t="shared" si="57"/>
        <v>Hip-Hop</v>
      </c>
      <c r="F387" s="2" t="str">
        <f t="shared" si="58"/>
        <v>Solo</v>
      </c>
      <c r="G387" s="2">
        <f t="shared" si="59"/>
        <v>2006</v>
      </c>
      <c r="H387" s="2">
        <f t="shared" si="60"/>
        <v>7738.2</v>
      </c>
      <c r="I387" s="2">
        <f t="shared" si="61"/>
        <v>3470.6</v>
      </c>
      <c r="J387" s="2">
        <f t="shared" si="62"/>
        <v>4267.7</v>
      </c>
    </row>
    <row r="388" spans="1:10" x14ac:dyDescent="0.45">
      <c r="A388" s="2" t="s">
        <v>347</v>
      </c>
      <c r="B388" s="2" t="str">
        <f t="shared" si="54"/>
        <v>Male</v>
      </c>
      <c r="C388" s="2" t="str">
        <f t="shared" si="55"/>
        <v>Germany</v>
      </c>
      <c r="D388" s="2" t="str">
        <f t="shared" si="56"/>
        <v>German</v>
      </c>
      <c r="E388" s="2" t="str">
        <f t="shared" si="57"/>
        <v>Metal</v>
      </c>
      <c r="F388" s="2" t="str">
        <f t="shared" si="58"/>
        <v>Group</v>
      </c>
      <c r="G388" s="2">
        <f t="shared" si="59"/>
        <v>1995</v>
      </c>
      <c r="H388" s="2">
        <f t="shared" si="60"/>
        <v>10902.6</v>
      </c>
      <c r="I388" s="2">
        <f t="shared" si="61"/>
        <v>10910.3</v>
      </c>
      <c r="J388" s="2">
        <f t="shared" si="62"/>
        <v>0</v>
      </c>
    </row>
    <row r="389" spans="1:10" x14ac:dyDescent="0.45">
      <c r="A389" s="2" t="s">
        <v>50</v>
      </c>
      <c r="B389" s="2" t="str">
        <f t="shared" si="54"/>
        <v>Male</v>
      </c>
      <c r="C389" s="2" t="str">
        <f t="shared" si="55"/>
        <v>United States</v>
      </c>
      <c r="D389" s="2" t="str">
        <f t="shared" si="56"/>
        <v>Spanish</v>
      </c>
      <c r="E389" s="2" t="str">
        <f t="shared" si="57"/>
        <v>Reggaeton</v>
      </c>
      <c r="F389" s="2" t="str">
        <f t="shared" si="58"/>
        <v>Solo</v>
      </c>
      <c r="G389" s="2">
        <f t="shared" si="59"/>
        <v>2014</v>
      </c>
      <c r="H389" s="2">
        <f t="shared" si="60"/>
        <v>40738.6</v>
      </c>
      <c r="I389" s="2">
        <f t="shared" si="61"/>
        <v>24898</v>
      </c>
      <c r="J389" s="2">
        <f t="shared" si="62"/>
        <v>15857.7</v>
      </c>
    </row>
    <row r="390" spans="1:10" x14ac:dyDescent="0.45">
      <c r="A390" s="2" t="s">
        <v>398</v>
      </c>
      <c r="B390" s="2" t="str">
        <f t="shared" si="54"/>
        <v>Female</v>
      </c>
      <c r="C390" s="2" t="str">
        <f t="shared" si="55"/>
        <v>United Kingdom</v>
      </c>
      <c r="D390" s="2" t="str">
        <f t="shared" si="56"/>
        <v>English</v>
      </c>
      <c r="E390" s="2" t="str">
        <f t="shared" si="57"/>
        <v>Pop</v>
      </c>
      <c r="F390" s="2" t="str">
        <f t="shared" si="58"/>
        <v>Solo</v>
      </c>
      <c r="G390" s="2">
        <f t="shared" si="59"/>
        <v>2014</v>
      </c>
      <c r="H390" s="2">
        <f t="shared" si="60"/>
        <v>9859.6</v>
      </c>
      <c r="I390" s="2">
        <f t="shared" si="61"/>
        <v>4832.5</v>
      </c>
      <c r="J390" s="2">
        <f t="shared" si="62"/>
        <v>5032.8999999999996</v>
      </c>
    </row>
    <row r="391" spans="1:10" x14ac:dyDescent="0.45">
      <c r="A391" s="2" t="s">
        <v>128</v>
      </c>
      <c r="B391" s="2" t="str">
        <f t="shared" si="54"/>
        <v>Mixed</v>
      </c>
      <c r="C391" s="2" t="str">
        <f t="shared" si="55"/>
        <v>United States</v>
      </c>
      <c r="D391" s="2" t="str">
        <f t="shared" si="56"/>
        <v>English</v>
      </c>
      <c r="E391" s="2" t="str">
        <f t="shared" si="57"/>
        <v>Rock</v>
      </c>
      <c r="F391" s="2" t="str">
        <f t="shared" si="58"/>
        <v>Group</v>
      </c>
      <c r="G391" s="2">
        <f t="shared" si="59"/>
        <v>1984</v>
      </c>
      <c r="H391" s="2">
        <f t="shared" si="60"/>
        <v>21873.8</v>
      </c>
      <c r="I391" s="2">
        <f t="shared" si="61"/>
        <v>21884.2</v>
      </c>
      <c r="J391" s="2">
        <f t="shared" si="62"/>
        <v>0</v>
      </c>
    </row>
    <row r="392" spans="1:10" x14ac:dyDescent="0.45">
      <c r="A392" s="2" t="s">
        <v>308</v>
      </c>
      <c r="B392" s="2" t="str">
        <f t="shared" si="54"/>
        <v>Male</v>
      </c>
      <c r="C392" s="2" t="str">
        <f t="shared" si="55"/>
        <v>Mexico</v>
      </c>
      <c r="D392" s="2" t="str">
        <f t="shared" si="56"/>
        <v>Spanish</v>
      </c>
      <c r="E392" s="2" t="str">
        <f t="shared" si="57"/>
        <v>Latin</v>
      </c>
      <c r="F392" s="2" t="str">
        <f t="shared" si="58"/>
        <v>Group</v>
      </c>
      <c r="G392" s="2">
        <f t="shared" si="59"/>
        <v>2005</v>
      </c>
      <c r="H392" s="2">
        <f t="shared" si="60"/>
        <v>11853.7</v>
      </c>
      <c r="I392" s="2">
        <f t="shared" si="61"/>
        <v>9900.6</v>
      </c>
      <c r="J392" s="2">
        <f t="shared" si="62"/>
        <v>1953.1</v>
      </c>
    </row>
    <row r="393" spans="1:10" x14ac:dyDescent="0.45">
      <c r="A393" s="2" t="s">
        <v>254</v>
      </c>
      <c r="B393" s="2" t="str">
        <f t="shared" si="54"/>
        <v>Male</v>
      </c>
      <c r="C393" s="2" t="str">
        <f t="shared" si="55"/>
        <v>Spain</v>
      </c>
      <c r="D393" s="2" t="str">
        <f t="shared" si="56"/>
        <v>Spanish</v>
      </c>
      <c r="E393" s="2" t="str">
        <f t="shared" si="57"/>
        <v>Hip-Hop</v>
      </c>
      <c r="F393" s="2" t="str">
        <f t="shared" si="58"/>
        <v>Solo</v>
      </c>
      <c r="G393" s="2">
        <f t="shared" si="59"/>
        <v>2014</v>
      </c>
      <c r="H393" s="2">
        <f t="shared" si="60"/>
        <v>13734.1</v>
      </c>
      <c r="I393" s="2">
        <f t="shared" si="61"/>
        <v>11278.9</v>
      </c>
      <c r="J393" s="2">
        <f t="shared" si="62"/>
        <v>2462</v>
      </c>
    </row>
    <row r="394" spans="1:10" x14ac:dyDescent="0.45">
      <c r="A394" s="2" t="s">
        <v>514</v>
      </c>
      <c r="B394" s="2" t="str">
        <f t="shared" si="54"/>
        <v>Male</v>
      </c>
      <c r="C394" s="2" t="str">
        <f t="shared" si="55"/>
        <v>United Kingdom</v>
      </c>
      <c r="D394" s="2" t="str">
        <f t="shared" si="56"/>
        <v>English</v>
      </c>
      <c r="E394" s="2" t="str">
        <f t="shared" si="57"/>
        <v>Pop</v>
      </c>
      <c r="F394" s="2" t="str">
        <f t="shared" si="58"/>
        <v>Solo</v>
      </c>
      <c r="G394" s="2">
        <f t="shared" si="59"/>
        <v>2015</v>
      </c>
      <c r="H394" s="2">
        <f t="shared" si="60"/>
        <v>7824.1</v>
      </c>
      <c r="I394" s="2">
        <f t="shared" si="61"/>
        <v>6895.6</v>
      </c>
      <c r="J394" s="2">
        <f t="shared" si="62"/>
        <v>928.5</v>
      </c>
    </row>
    <row r="395" spans="1:10" x14ac:dyDescent="0.45">
      <c r="A395" s="2" t="s">
        <v>511</v>
      </c>
      <c r="B395" s="2" t="str">
        <f t="shared" si="54"/>
        <v>Male</v>
      </c>
      <c r="C395" s="2" t="str">
        <f t="shared" si="55"/>
        <v>Guatemala</v>
      </c>
      <c r="D395" s="2" t="str">
        <f t="shared" si="56"/>
        <v>Spanish</v>
      </c>
      <c r="E395" s="2" t="str">
        <f t="shared" si="57"/>
        <v>Latin</v>
      </c>
      <c r="F395" s="2" t="str">
        <f t="shared" si="58"/>
        <v>Solo</v>
      </c>
      <c r="G395" s="2">
        <f t="shared" si="59"/>
        <v>1985</v>
      </c>
      <c r="H395" s="2">
        <f t="shared" si="60"/>
        <v>7852.2</v>
      </c>
      <c r="I395" s="2">
        <f t="shared" si="61"/>
        <v>7854.4</v>
      </c>
      <c r="J395" s="2">
        <f t="shared" si="62"/>
        <v>4</v>
      </c>
    </row>
    <row r="396" spans="1:10" x14ac:dyDescent="0.45">
      <c r="A396" s="2" t="s">
        <v>320</v>
      </c>
      <c r="B396" s="2" t="str">
        <f t="shared" si="54"/>
        <v>Male</v>
      </c>
      <c r="C396" s="2" t="str">
        <f t="shared" si="55"/>
        <v>United States</v>
      </c>
      <c r="D396" s="2" t="str">
        <f t="shared" si="56"/>
        <v>English</v>
      </c>
      <c r="E396" s="2" t="str">
        <f t="shared" si="57"/>
        <v>Hip-Hop</v>
      </c>
      <c r="F396" s="2" t="str">
        <f t="shared" si="58"/>
        <v>Solo</v>
      </c>
      <c r="G396" s="2">
        <f t="shared" si="59"/>
        <v>2006</v>
      </c>
      <c r="H396" s="2">
        <f t="shared" si="60"/>
        <v>11575.2</v>
      </c>
      <c r="I396" s="2">
        <f t="shared" si="61"/>
        <v>3209.4</v>
      </c>
      <c r="J396" s="2">
        <f t="shared" si="62"/>
        <v>8365.7999999999993</v>
      </c>
    </row>
    <row r="397" spans="1:10" x14ac:dyDescent="0.45">
      <c r="A397" s="2" t="s">
        <v>22</v>
      </c>
      <c r="B397" s="2" t="str">
        <f t="shared" si="54"/>
        <v>Female</v>
      </c>
      <c r="C397" s="2" t="str">
        <f t="shared" si="55"/>
        <v>Barbados</v>
      </c>
      <c r="D397" s="2" t="str">
        <f t="shared" si="56"/>
        <v>English</v>
      </c>
      <c r="E397" s="2" t="str">
        <f t="shared" si="57"/>
        <v>Pop</v>
      </c>
      <c r="F397" s="2" t="str">
        <f t="shared" si="58"/>
        <v>Solo</v>
      </c>
      <c r="G397" s="2">
        <f t="shared" si="59"/>
        <v>2005</v>
      </c>
      <c r="H397" s="2">
        <f t="shared" si="60"/>
        <v>60670.7</v>
      </c>
      <c r="I397" s="2">
        <f t="shared" si="61"/>
        <v>44824.4</v>
      </c>
      <c r="J397" s="2">
        <f t="shared" si="62"/>
        <v>15846.4</v>
      </c>
    </row>
    <row r="398" spans="1:10" x14ac:dyDescent="0.45">
      <c r="A398" s="2" t="s">
        <v>532</v>
      </c>
      <c r="B398" s="2" t="str">
        <f t="shared" si="54"/>
        <v>Female</v>
      </c>
      <c r="C398" s="2" t="str">
        <f t="shared" si="55"/>
        <v>United Kingdom</v>
      </c>
      <c r="D398" s="2" t="str">
        <f t="shared" si="56"/>
        <v>English</v>
      </c>
      <c r="E398" s="2" t="str">
        <f t="shared" si="57"/>
        <v>Pop</v>
      </c>
      <c r="F398" s="2" t="str">
        <f t="shared" si="58"/>
        <v>Solo</v>
      </c>
      <c r="G398" s="2">
        <f t="shared" si="59"/>
        <v>2012</v>
      </c>
      <c r="H398" s="2">
        <f t="shared" si="60"/>
        <v>7596.7</v>
      </c>
      <c r="I398" s="2">
        <f t="shared" si="61"/>
        <v>3575.7</v>
      </c>
      <c r="J398" s="2">
        <f t="shared" si="62"/>
        <v>4021</v>
      </c>
    </row>
    <row r="399" spans="1:10" x14ac:dyDescent="0.45">
      <c r="A399" s="2" t="s">
        <v>298</v>
      </c>
      <c r="B399" s="2" t="str">
        <f t="shared" si="54"/>
        <v>Male</v>
      </c>
      <c r="C399" s="2" t="str">
        <f t="shared" si="55"/>
        <v>Germany</v>
      </c>
      <c r="D399" s="2" t="str">
        <f t="shared" si="56"/>
        <v>German</v>
      </c>
      <c r="E399" s="2" t="str">
        <f t="shared" si="57"/>
        <v>EDM</v>
      </c>
      <c r="F399" s="2" t="str">
        <f t="shared" si="58"/>
        <v>Solo</v>
      </c>
      <c r="G399" s="2">
        <f t="shared" si="59"/>
        <v>2014</v>
      </c>
      <c r="H399" s="2">
        <f t="shared" si="60"/>
        <v>12403.3</v>
      </c>
      <c r="I399" s="2">
        <f t="shared" si="61"/>
        <v>7261.2</v>
      </c>
      <c r="J399" s="2">
        <f t="shared" si="62"/>
        <v>5145.8</v>
      </c>
    </row>
    <row r="400" spans="1:10" x14ac:dyDescent="0.45">
      <c r="A400" s="2" t="s">
        <v>490</v>
      </c>
      <c r="B400" s="2" t="str">
        <f t="shared" si="54"/>
        <v>Male</v>
      </c>
      <c r="C400" s="2" t="str">
        <f t="shared" si="55"/>
        <v>United States</v>
      </c>
      <c r="D400" s="2" t="str">
        <f t="shared" si="56"/>
        <v>English</v>
      </c>
      <c r="E400" s="2" t="str">
        <f t="shared" si="57"/>
        <v>Hip-Hop</v>
      </c>
      <c r="F400" s="2" t="str">
        <f t="shared" si="58"/>
        <v>Solo</v>
      </c>
      <c r="G400" s="2">
        <f t="shared" si="59"/>
        <v>2015</v>
      </c>
      <c r="H400" s="2">
        <f t="shared" si="60"/>
        <v>8148</v>
      </c>
      <c r="I400" s="2">
        <f t="shared" si="61"/>
        <v>7808</v>
      </c>
      <c r="J400" s="2">
        <f t="shared" si="62"/>
        <v>340</v>
      </c>
    </row>
    <row r="401" spans="1:10" x14ac:dyDescent="0.45">
      <c r="A401" s="2" t="s">
        <v>255</v>
      </c>
      <c r="B401" s="2" t="str">
        <f t="shared" si="54"/>
        <v>Male</v>
      </c>
      <c r="C401" s="2" t="str">
        <f t="shared" si="55"/>
        <v>United States</v>
      </c>
      <c r="D401" s="2" t="str">
        <f t="shared" si="56"/>
        <v>English</v>
      </c>
      <c r="E401" s="2" t="str">
        <f t="shared" si="57"/>
        <v>Hip-Hop</v>
      </c>
      <c r="F401" s="2" t="str">
        <f t="shared" si="58"/>
        <v>Solo</v>
      </c>
      <c r="G401" s="2">
        <f t="shared" si="59"/>
        <v>2017</v>
      </c>
      <c r="H401" s="2">
        <f t="shared" si="60"/>
        <v>13692</v>
      </c>
      <c r="I401" s="2">
        <f t="shared" si="61"/>
        <v>6665</v>
      </c>
      <c r="J401" s="2">
        <f t="shared" si="62"/>
        <v>7030</v>
      </c>
    </row>
    <row r="402" spans="1:10" x14ac:dyDescent="0.45">
      <c r="A402" s="2" t="s">
        <v>137</v>
      </c>
      <c r="B402" s="2" t="str">
        <f t="shared" si="54"/>
        <v>Male</v>
      </c>
      <c r="C402" s="2" t="str">
        <f t="shared" si="55"/>
        <v>United States</v>
      </c>
      <c r="D402" s="2" t="str">
        <f t="shared" si="56"/>
        <v>Spanish</v>
      </c>
      <c r="E402" s="2" t="str">
        <f t="shared" si="57"/>
        <v>Bachata</v>
      </c>
      <c r="F402" s="2" t="str">
        <f t="shared" si="58"/>
        <v>Solo</v>
      </c>
      <c r="G402" s="2">
        <f t="shared" si="59"/>
        <v>2011</v>
      </c>
      <c r="H402" s="2">
        <f t="shared" si="60"/>
        <v>20549.2</v>
      </c>
      <c r="I402" s="2">
        <f t="shared" si="61"/>
        <v>14249.8</v>
      </c>
      <c r="J402" s="2">
        <f t="shared" si="62"/>
        <v>6311</v>
      </c>
    </row>
    <row r="403" spans="1:10" x14ac:dyDescent="0.45">
      <c r="A403" s="2" t="s">
        <v>228</v>
      </c>
      <c r="B403" s="2" t="str">
        <f t="shared" si="54"/>
        <v>Female</v>
      </c>
      <c r="C403" s="2" t="str">
        <f t="shared" si="55"/>
        <v>Spain</v>
      </c>
      <c r="D403" s="2" t="str">
        <f t="shared" si="56"/>
        <v>Spanish</v>
      </c>
      <c r="E403" s="2" t="str">
        <f t="shared" si="57"/>
        <v>Pop</v>
      </c>
      <c r="F403" s="2" t="str">
        <f t="shared" si="58"/>
        <v>Solo</v>
      </c>
      <c r="G403" s="2">
        <f t="shared" si="59"/>
        <v>2016</v>
      </c>
      <c r="H403" s="2">
        <f t="shared" si="60"/>
        <v>14558.4</v>
      </c>
      <c r="I403" s="2">
        <f t="shared" si="61"/>
        <v>10084</v>
      </c>
      <c r="J403" s="2">
        <f t="shared" si="62"/>
        <v>4479.1000000000004</v>
      </c>
    </row>
    <row r="404" spans="1:10" x14ac:dyDescent="0.45">
      <c r="A404" s="2" t="s">
        <v>495</v>
      </c>
      <c r="B404" s="2" t="str">
        <f t="shared" si="54"/>
        <v>Male</v>
      </c>
      <c r="C404" s="2" t="str">
        <f t="shared" si="55"/>
        <v>United States</v>
      </c>
      <c r="D404" s="2" t="str">
        <f t="shared" si="56"/>
        <v>English</v>
      </c>
      <c r="E404" s="2" t="str">
        <f t="shared" si="57"/>
        <v>Hip-Hop</v>
      </c>
      <c r="F404" s="2" t="str">
        <f t="shared" si="58"/>
        <v>Solo</v>
      </c>
      <c r="G404" s="2">
        <f t="shared" si="59"/>
        <v>2011</v>
      </c>
      <c r="H404" s="2">
        <f t="shared" si="60"/>
        <v>8043.6</v>
      </c>
      <c r="I404" s="2">
        <f t="shared" si="61"/>
        <v>7678.7</v>
      </c>
      <c r="J404" s="2">
        <f t="shared" si="62"/>
        <v>364.9</v>
      </c>
    </row>
    <row r="405" spans="1:10" x14ac:dyDescent="0.45">
      <c r="A405" s="2" t="s">
        <v>527</v>
      </c>
      <c r="B405" s="2" t="str">
        <f t="shared" si="54"/>
        <v>Male</v>
      </c>
      <c r="C405" s="2" t="str">
        <f t="shared" si="55"/>
        <v>Colombia</v>
      </c>
      <c r="D405" s="2" t="str">
        <f t="shared" si="56"/>
        <v>Spanish</v>
      </c>
      <c r="E405" s="2" t="str">
        <f t="shared" si="57"/>
        <v>Reggaeton</v>
      </c>
      <c r="F405" s="2" t="str">
        <f t="shared" si="58"/>
        <v>Solo</v>
      </c>
      <c r="G405" s="2">
        <f t="shared" si="59"/>
        <v>2017</v>
      </c>
      <c r="H405" s="2">
        <f t="shared" si="60"/>
        <v>7645.2</v>
      </c>
      <c r="I405" s="2">
        <f t="shared" si="61"/>
        <v>4203.6000000000004</v>
      </c>
      <c r="J405" s="2">
        <f t="shared" si="62"/>
        <v>3448.5</v>
      </c>
    </row>
    <row r="406" spans="1:10" x14ac:dyDescent="0.45">
      <c r="A406" s="2" t="s">
        <v>565</v>
      </c>
      <c r="B406" s="2" t="str">
        <f t="shared" si="54"/>
        <v>Male</v>
      </c>
      <c r="C406" s="2" t="str">
        <f t="shared" si="55"/>
        <v>United States</v>
      </c>
      <c r="D406" s="2" t="str">
        <f t="shared" si="56"/>
        <v>English</v>
      </c>
      <c r="E406" s="2" t="str">
        <f t="shared" si="57"/>
        <v>Hip-Hop</v>
      </c>
      <c r="F406" s="2" t="str">
        <f t="shared" si="58"/>
        <v>Solo</v>
      </c>
      <c r="G406" s="2">
        <f t="shared" si="59"/>
        <v>2008</v>
      </c>
      <c r="H406" s="2">
        <f t="shared" si="60"/>
        <v>7237.6</v>
      </c>
      <c r="I406" s="2">
        <f t="shared" si="61"/>
        <v>0</v>
      </c>
      <c r="J406" s="2">
        <f t="shared" si="62"/>
        <v>7237.6</v>
      </c>
    </row>
    <row r="407" spans="1:10" x14ac:dyDescent="0.45">
      <c r="A407" s="2" t="s">
        <v>112</v>
      </c>
      <c r="B407" s="2" t="str">
        <f t="shared" si="54"/>
        <v>Female</v>
      </c>
      <c r="C407" s="2" t="str">
        <f t="shared" si="55"/>
        <v>United States</v>
      </c>
      <c r="D407" s="2" t="str">
        <f t="shared" si="56"/>
        <v>English</v>
      </c>
      <c r="E407" s="2" t="str">
        <f t="shared" si="57"/>
        <v>Pop</v>
      </c>
      <c r="F407" s="2" t="str">
        <f t="shared" si="58"/>
        <v>Solo</v>
      </c>
      <c r="G407" s="2">
        <f t="shared" si="59"/>
        <v>2014</v>
      </c>
      <c r="H407" s="2">
        <f t="shared" si="60"/>
        <v>24888.6</v>
      </c>
      <c r="I407" s="2">
        <f t="shared" si="61"/>
        <v>22789.599999999999</v>
      </c>
      <c r="J407" s="2">
        <f t="shared" si="62"/>
        <v>2114.3000000000002</v>
      </c>
    </row>
    <row r="408" spans="1:10" x14ac:dyDescent="0.45">
      <c r="A408" s="2" t="s">
        <v>453</v>
      </c>
      <c r="B408" s="2" t="str">
        <f t="shared" si="54"/>
        <v>Male</v>
      </c>
      <c r="C408" s="2" t="str">
        <f t="shared" si="55"/>
        <v>India</v>
      </c>
      <c r="D408" s="2" t="str">
        <f t="shared" si="56"/>
        <v>Hindi</v>
      </c>
      <c r="E408" s="2" t="str">
        <f t="shared" si="57"/>
        <v>Filmi</v>
      </c>
      <c r="F408" s="2" t="str">
        <f t="shared" si="58"/>
        <v>Group</v>
      </c>
      <c r="G408" s="2">
        <f t="shared" si="59"/>
        <v>2009</v>
      </c>
      <c r="H408" s="2">
        <f t="shared" si="60"/>
        <v>8584.2000000000007</v>
      </c>
      <c r="I408" s="2">
        <f t="shared" si="61"/>
        <v>6741.1</v>
      </c>
      <c r="J408" s="2">
        <f t="shared" si="62"/>
        <v>1843.2</v>
      </c>
    </row>
    <row r="409" spans="1:10" x14ac:dyDescent="0.45">
      <c r="A409" s="2" t="s">
        <v>91</v>
      </c>
      <c r="B409" s="2" t="str">
        <f t="shared" si="54"/>
        <v>Male</v>
      </c>
      <c r="C409" s="2" t="str">
        <f t="shared" si="55"/>
        <v>United Kingdom</v>
      </c>
      <c r="D409" s="2" t="str">
        <f t="shared" si="56"/>
        <v>English</v>
      </c>
      <c r="E409" s="2" t="str">
        <f t="shared" si="57"/>
        <v>Pop</v>
      </c>
      <c r="F409" s="2" t="str">
        <f t="shared" si="58"/>
        <v>Solo</v>
      </c>
      <c r="G409" s="2">
        <f t="shared" si="59"/>
        <v>2012</v>
      </c>
      <c r="H409" s="2">
        <f t="shared" si="60"/>
        <v>29197.200000000001</v>
      </c>
      <c r="I409" s="2">
        <f t="shared" si="61"/>
        <v>24125.8</v>
      </c>
      <c r="J409" s="2">
        <f t="shared" si="62"/>
        <v>5078.3</v>
      </c>
    </row>
    <row r="410" spans="1:10" x14ac:dyDescent="0.45">
      <c r="A410" s="2" t="s">
        <v>515</v>
      </c>
      <c r="B410" s="2" t="str">
        <f t="shared" si="54"/>
        <v>Male</v>
      </c>
      <c r="C410" s="2" t="str">
        <f t="shared" si="55"/>
        <v>United States</v>
      </c>
      <c r="D410" s="2" t="str">
        <f t="shared" si="56"/>
        <v>English</v>
      </c>
      <c r="E410" s="2" t="str">
        <f t="shared" si="57"/>
        <v>Hip-Hop</v>
      </c>
      <c r="F410" s="2" t="str">
        <f t="shared" si="58"/>
        <v>Solo</v>
      </c>
      <c r="G410" s="2">
        <f t="shared" si="59"/>
        <v>2008</v>
      </c>
      <c r="H410" s="2">
        <f t="shared" si="60"/>
        <v>7817.3</v>
      </c>
      <c r="I410" s="2">
        <f t="shared" si="61"/>
        <v>4590.3999999999996</v>
      </c>
      <c r="J410" s="2">
        <f t="shared" si="62"/>
        <v>3227</v>
      </c>
    </row>
    <row r="411" spans="1:10" x14ac:dyDescent="0.45">
      <c r="A411" s="2" t="s">
        <v>169</v>
      </c>
      <c r="B411" s="2" t="str">
        <f t="shared" si="54"/>
        <v>Male</v>
      </c>
      <c r="C411" s="2" t="str">
        <f t="shared" si="55"/>
        <v>Jamaica</v>
      </c>
      <c r="D411" s="2" t="str">
        <f t="shared" si="56"/>
        <v>English</v>
      </c>
      <c r="E411" s="2" t="str">
        <f t="shared" si="57"/>
        <v>Reggae</v>
      </c>
      <c r="F411" s="2" t="str">
        <f t="shared" si="58"/>
        <v>Solo</v>
      </c>
      <c r="G411" s="2">
        <f t="shared" si="59"/>
        <v>1996</v>
      </c>
      <c r="H411" s="2">
        <f t="shared" si="60"/>
        <v>18203.3</v>
      </c>
      <c r="I411" s="2">
        <f t="shared" si="61"/>
        <v>9674.9</v>
      </c>
      <c r="J411" s="2">
        <f t="shared" si="62"/>
        <v>8539.4</v>
      </c>
    </row>
    <row r="412" spans="1:10" x14ac:dyDescent="0.45">
      <c r="A412" s="2" t="s">
        <v>185</v>
      </c>
      <c r="B412" s="2" t="str">
        <f t="shared" si="54"/>
        <v>Male</v>
      </c>
      <c r="C412" s="2" t="str">
        <f t="shared" si="55"/>
        <v>Colombia</v>
      </c>
      <c r="D412" s="2" t="str">
        <f t="shared" si="56"/>
        <v>Spanish</v>
      </c>
      <c r="E412" s="2" t="str">
        <f t="shared" si="57"/>
        <v>Latin</v>
      </c>
      <c r="F412" s="2" t="str">
        <f t="shared" si="58"/>
        <v>Solo</v>
      </c>
      <c r="G412" s="2">
        <f t="shared" si="59"/>
        <v>2013</v>
      </c>
      <c r="H412" s="2">
        <f t="shared" si="60"/>
        <v>16984.3</v>
      </c>
      <c r="I412" s="2">
        <f t="shared" si="61"/>
        <v>10969.8</v>
      </c>
      <c r="J412" s="2">
        <f t="shared" si="62"/>
        <v>6018.9</v>
      </c>
    </row>
    <row r="413" spans="1:10" x14ac:dyDescent="0.45">
      <c r="A413" s="2" t="s">
        <v>148</v>
      </c>
      <c r="B413" s="2" t="str">
        <f t="shared" si="54"/>
        <v>Male</v>
      </c>
      <c r="C413" s="2" t="str">
        <f t="shared" si="55"/>
        <v>Panama</v>
      </c>
      <c r="D413" s="2" t="str">
        <f t="shared" si="56"/>
        <v>Spanish</v>
      </c>
      <c r="E413" s="2" t="str">
        <f t="shared" si="57"/>
        <v>Reggaeton</v>
      </c>
      <c r="F413" s="2" t="str">
        <f t="shared" si="58"/>
        <v>Solo</v>
      </c>
      <c r="G413" s="2">
        <f t="shared" si="59"/>
        <v>2014</v>
      </c>
      <c r="H413" s="2">
        <f t="shared" si="60"/>
        <v>19528.3</v>
      </c>
      <c r="I413" s="2">
        <f t="shared" si="61"/>
        <v>7512.9</v>
      </c>
      <c r="J413" s="2">
        <f t="shared" si="62"/>
        <v>12015.4</v>
      </c>
    </row>
    <row r="414" spans="1:10" x14ac:dyDescent="0.45">
      <c r="A414" s="2" t="s">
        <v>103</v>
      </c>
      <c r="B414" s="2" t="str">
        <f t="shared" si="54"/>
        <v>Female</v>
      </c>
      <c r="C414" s="2" t="str">
        <f t="shared" si="55"/>
        <v>United States</v>
      </c>
      <c r="D414" s="2" t="str">
        <f t="shared" si="56"/>
        <v>English</v>
      </c>
      <c r="E414" s="2" t="str">
        <f t="shared" si="57"/>
        <v>Pop</v>
      </c>
      <c r="F414" s="2" t="str">
        <f t="shared" si="58"/>
        <v>Solo</v>
      </c>
      <c r="G414" s="2">
        <f t="shared" si="59"/>
        <v>2008</v>
      </c>
      <c r="H414" s="2">
        <f t="shared" si="60"/>
        <v>26895.1</v>
      </c>
      <c r="I414" s="2">
        <f t="shared" si="61"/>
        <v>16017.5</v>
      </c>
      <c r="J414" s="2">
        <f t="shared" si="62"/>
        <v>10884.4</v>
      </c>
    </row>
    <row r="415" spans="1:10" x14ac:dyDescent="0.45">
      <c r="A415" s="2" t="s">
        <v>457</v>
      </c>
      <c r="B415" s="2" t="str">
        <f t="shared" si="54"/>
        <v>Mixed</v>
      </c>
      <c r="C415" s="2" t="str">
        <f t="shared" si="55"/>
        <v>South Korea</v>
      </c>
      <c r="D415" s="2" t="str">
        <f t="shared" si="56"/>
        <v>Korean</v>
      </c>
      <c r="E415" s="2" t="str">
        <f t="shared" si="57"/>
        <v>K-Pop</v>
      </c>
      <c r="F415" s="2" t="str">
        <f t="shared" si="58"/>
        <v>Group</v>
      </c>
      <c r="G415" s="2">
        <f t="shared" si="59"/>
        <v>2015</v>
      </c>
      <c r="H415" s="2">
        <f t="shared" si="60"/>
        <v>8531.2999999999993</v>
      </c>
      <c r="I415" s="2">
        <f t="shared" si="61"/>
        <v>8465.7000000000007</v>
      </c>
      <c r="J415" s="2">
        <f t="shared" si="62"/>
        <v>70</v>
      </c>
    </row>
    <row r="416" spans="1:10" x14ac:dyDescent="0.45">
      <c r="A416" s="2" t="s">
        <v>410</v>
      </c>
      <c r="B416" s="2" t="str">
        <f t="shared" si="54"/>
        <v>Male</v>
      </c>
      <c r="C416" s="2" t="str">
        <f t="shared" si="55"/>
        <v>Italy</v>
      </c>
      <c r="D416" s="2" t="str">
        <f t="shared" si="56"/>
        <v>Italian</v>
      </c>
      <c r="E416" s="2" t="str">
        <f t="shared" si="57"/>
        <v>Hip-Hop</v>
      </c>
      <c r="F416" s="2" t="str">
        <f t="shared" si="58"/>
        <v>Solo</v>
      </c>
      <c r="G416" s="2">
        <f t="shared" si="59"/>
        <v>2011</v>
      </c>
      <c r="H416" s="2">
        <f t="shared" si="60"/>
        <v>9437.2999999999993</v>
      </c>
      <c r="I416" s="2">
        <f t="shared" si="61"/>
        <v>6110.3</v>
      </c>
      <c r="J416" s="2">
        <f t="shared" si="62"/>
        <v>3331.7</v>
      </c>
    </row>
    <row r="417" spans="1:10" x14ac:dyDescent="0.45">
      <c r="A417" s="2" t="s">
        <v>83</v>
      </c>
      <c r="B417" s="2" t="str">
        <f t="shared" si="54"/>
        <v>Female</v>
      </c>
      <c r="C417" s="2" t="str">
        <f t="shared" si="55"/>
        <v>Colombia</v>
      </c>
      <c r="D417" s="2" t="str">
        <f t="shared" si="56"/>
        <v>Spanish</v>
      </c>
      <c r="E417" s="2" t="str">
        <f t="shared" si="57"/>
        <v>Latin</v>
      </c>
      <c r="F417" s="2" t="str">
        <f t="shared" si="58"/>
        <v>Solo</v>
      </c>
      <c r="G417" s="2">
        <f t="shared" si="59"/>
        <v>1991</v>
      </c>
      <c r="H417" s="2">
        <f t="shared" si="60"/>
        <v>31212.400000000001</v>
      </c>
      <c r="I417" s="2">
        <f t="shared" si="61"/>
        <v>24041</v>
      </c>
      <c r="J417" s="2">
        <f t="shared" si="62"/>
        <v>7171.5</v>
      </c>
    </row>
    <row r="418" spans="1:10" x14ac:dyDescent="0.45">
      <c r="A418" s="2" t="s">
        <v>88</v>
      </c>
      <c r="B418" s="2" t="str">
        <f t="shared" si="54"/>
        <v>Male</v>
      </c>
      <c r="C418" s="2" t="str">
        <f t="shared" si="55"/>
        <v>Canada</v>
      </c>
      <c r="D418" s="2" t="str">
        <f t="shared" si="56"/>
        <v>English</v>
      </c>
      <c r="E418" s="2" t="str">
        <f t="shared" si="57"/>
        <v>Pop</v>
      </c>
      <c r="F418" s="2" t="str">
        <f t="shared" si="58"/>
        <v>Solo</v>
      </c>
      <c r="G418" s="2">
        <f t="shared" si="59"/>
        <v>2014</v>
      </c>
      <c r="H418" s="2">
        <f t="shared" si="60"/>
        <v>29471.1</v>
      </c>
      <c r="I418" s="2">
        <f t="shared" si="61"/>
        <v>28781</v>
      </c>
      <c r="J418" s="2">
        <f t="shared" si="62"/>
        <v>699</v>
      </c>
    </row>
    <row r="419" spans="1:10" x14ac:dyDescent="0.45">
      <c r="A419" s="2" t="s">
        <v>207</v>
      </c>
      <c r="B419" s="2" t="str">
        <f t="shared" si="54"/>
        <v>Female</v>
      </c>
      <c r="C419" s="2" t="str">
        <f t="shared" si="55"/>
        <v>India</v>
      </c>
      <c r="D419" s="2" t="str">
        <f t="shared" si="56"/>
        <v>Hindi</v>
      </c>
      <c r="E419" s="2" t="str">
        <f t="shared" si="57"/>
        <v>Filmi</v>
      </c>
      <c r="F419" s="2" t="str">
        <f t="shared" si="58"/>
        <v>Solo</v>
      </c>
      <c r="G419" s="2">
        <f t="shared" si="59"/>
        <v>2002</v>
      </c>
      <c r="H419" s="2">
        <f t="shared" si="60"/>
        <v>15723</v>
      </c>
      <c r="I419" s="2">
        <f t="shared" si="61"/>
        <v>2035.3</v>
      </c>
      <c r="J419" s="2">
        <f t="shared" si="62"/>
        <v>13703.9</v>
      </c>
    </row>
    <row r="420" spans="1:10" x14ac:dyDescent="0.45">
      <c r="A420" s="2" t="s">
        <v>80</v>
      </c>
      <c r="B420" s="2" t="str">
        <f t="shared" si="54"/>
        <v>Female</v>
      </c>
      <c r="C420" s="2" t="str">
        <f t="shared" si="55"/>
        <v>Australia</v>
      </c>
      <c r="D420" s="2" t="str">
        <f t="shared" si="56"/>
        <v>English</v>
      </c>
      <c r="E420" s="2" t="str">
        <f t="shared" si="57"/>
        <v>Pop</v>
      </c>
      <c r="F420" s="2" t="str">
        <f t="shared" si="58"/>
        <v>Solo</v>
      </c>
      <c r="G420" s="2">
        <f t="shared" si="59"/>
        <v>1997</v>
      </c>
      <c r="H420" s="2">
        <f t="shared" si="60"/>
        <v>31642.1</v>
      </c>
      <c r="I420" s="2">
        <f t="shared" si="61"/>
        <v>21063.200000000001</v>
      </c>
      <c r="J420" s="2">
        <f t="shared" si="62"/>
        <v>10588.2</v>
      </c>
    </row>
    <row r="421" spans="1:10" x14ac:dyDescent="0.45">
      <c r="A421" s="2" t="s">
        <v>332</v>
      </c>
      <c r="B421" s="2" t="str">
        <f t="shared" si="54"/>
        <v>Male</v>
      </c>
      <c r="C421" s="2" t="str">
        <f t="shared" si="55"/>
        <v>United States</v>
      </c>
      <c r="D421" s="2" t="str">
        <f t="shared" si="56"/>
        <v>English</v>
      </c>
      <c r="E421" s="2" t="str">
        <f t="shared" si="57"/>
        <v>EDM</v>
      </c>
      <c r="F421" s="2" t="str">
        <f t="shared" si="58"/>
        <v>Solo</v>
      </c>
      <c r="G421" s="2">
        <f t="shared" si="59"/>
        <v>2010</v>
      </c>
      <c r="H421" s="2">
        <f t="shared" si="60"/>
        <v>11198.8</v>
      </c>
      <c r="I421" s="2">
        <f t="shared" si="61"/>
        <v>5328.3</v>
      </c>
      <c r="J421" s="2">
        <f t="shared" si="62"/>
        <v>5873.2</v>
      </c>
    </row>
    <row r="422" spans="1:10" x14ac:dyDescent="0.45">
      <c r="A422" s="2" t="s">
        <v>339</v>
      </c>
      <c r="B422" s="2" t="str">
        <f t="shared" si="54"/>
        <v>Male</v>
      </c>
      <c r="C422" s="2" t="str">
        <f t="shared" si="55"/>
        <v>United States</v>
      </c>
      <c r="D422" s="2" t="str">
        <f t="shared" si="56"/>
        <v>English</v>
      </c>
      <c r="E422" s="2" t="str">
        <f t="shared" si="57"/>
        <v>Metal</v>
      </c>
      <c r="F422" s="2" t="str">
        <f t="shared" si="58"/>
        <v>Group</v>
      </c>
      <c r="G422" s="2">
        <f t="shared" si="59"/>
        <v>1999</v>
      </c>
      <c r="H422" s="2">
        <f t="shared" si="60"/>
        <v>11051.4</v>
      </c>
      <c r="I422" s="2">
        <f t="shared" si="61"/>
        <v>11056.2</v>
      </c>
      <c r="J422" s="2">
        <f t="shared" si="62"/>
        <v>0</v>
      </c>
    </row>
    <row r="423" spans="1:10" x14ac:dyDescent="0.45">
      <c r="A423" s="2" t="s">
        <v>136</v>
      </c>
      <c r="B423" s="2" t="str">
        <f t="shared" si="54"/>
        <v>Male</v>
      </c>
      <c r="C423" s="2" t="str">
        <f t="shared" si="55"/>
        <v>United States</v>
      </c>
      <c r="D423" s="2" t="str">
        <f t="shared" si="56"/>
        <v>English</v>
      </c>
      <c r="E423" s="2" t="str">
        <f t="shared" si="57"/>
        <v>Hip-Hop</v>
      </c>
      <c r="F423" s="2" t="str">
        <f t="shared" si="58"/>
        <v>Solo</v>
      </c>
      <c r="G423" s="2">
        <f t="shared" si="59"/>
        <v>1993</v>
      </c>
      <c r="H423" s="2">
        <f t="shared" si="60"/>
        <v>20644.8</v>
      </c>
      <c r="I423" s="2">
        <f t="shared" si="61"/>
        <v>7762</v>
      </c>
      <c r="J423" s="2">
        <f t="shared" si="62"/>
        <v>12890.7</v>
      </c>
    </row>
    <row r="424" spans="1:10" x14ac:dyDescent="0.45">
      <c r="A424" s="2" t="s">
        <v>365</v>
      </c>
      <c r="B424" s="2" t="str">
        <f t="shared" si="54"/>
        <v>Male</v>
      </c>
      <c r="C424" s="2" t="str">
        <f t="shared" si="55"/>
        <v>United States</v>
      </c>
      <c r="D424" s="2" t="str">
        <f t="shared" si="56"/>
        <v>English</v>
      </c>
      <c r="E424" s="2" t="str">
        <f t="shared" si="57"/>
        <v>R&amp;B</v>
      </c>
      <c r="F424" s="2" t="str">
        <f t="shared" si="58"/>
        <v>Solo</v>
      </c>
      <c r="G424" s="2">
        <f t="shared" si="59"/>
        <v>2015</v>
      </c>
      <c r="H424" s="2">
        <f t="shared" si="60"/>
        <v>10368.700000000001</v>
      </c>
      <c r="I424" s="2">
        <f t="shared" si="61"/>
        <v>9179.2000000000007</v>
      </c>
      <c r="J424" s="2">
        <f t="shared" si="62"/>
        <v>1201.2</v>
      </c>
    </row>
    <row r="425" spans="1:10" x14ac:dyDescent="0.45">
      <c r="A425" s="2" t="s">
        <v>468</v>
      </c>
      <c r="B425" s="2" t="str">
        <f t="shared" si="54"/>
        <v>Male</v>
      </c>
      <c r="C425" s="2" t="str">
        <f t="shared" si="55"/>
        <v>United States</v>
      </c>
      <c r="D425" s="2" t="str">
        <f t="shared" si="56"/>
        <v>English</v>
      </c>
      <c r="E425" s="2" t="str">
        <f t="shared" si="57"/>
        <v>Soul</v>
      </c>
      <c r="F425" s="2" t="str">
        <f t="shared" si="58"/>
        <v>Solo</v>
      </c>
      <c r="G425" s="2">
        <f t="shared" si="59"/>
        <v>1962</v>
      </c>
      <c r="H425" s="2">
        <f t="shared" si="60"/>
        <v>8371.5</v>
      </c>
      <c r="I425" s="2">
        <f t="shared" si="61"/>
        <v>7723.5</v>
      </c>
      <c r="J425" s="2">
        <f t="shared" si="62"/>
        <v>648</v>
      </c>
    </row>
    <row r="426" spans="1:10" x14ac:dyDescent="0.45">
      <c r="A426" s="2" t="s">
        <v>224</v>
      </c>
      <c r="B426" s="2" t="str">
        <f t="shared" si="54"/>
        <v>Male</v>
      </c>
      <c r="C426" s="2" t="str">
        <f t="shared" si="55"/>
        <v>South Korea</v>
      </c>
      <c r="D426" s="2" t="str">
        <f t="shared" si="56"/>
        <v>Korean</v>
      </c>
      <c r="E426" s="2" t="str">
        <f t="shared" si="57"/>
        <v>K-Pop</v>
      </c>
      <c r="F426" s="2" t="str">
        <f t="shared" si="58"/>
        <v>Group</v>
      </c>
      <c r="G426" s="2">
        <f t="shared" si="59"/>
        <v>2018</v>
      </c>
      <c r="H426" s="2">
        <f t="shared" si="60"/>
        <v>14947.4</v>
      </c>
      <c r="I426" s="2">
        <f t="shared" si="61"/>
        <v>14819</v>
      </c>
      <c r="J426" s="2">
        <f t="shared" si="62"/>
        <v>136.5</v>
      </c>
    </row>
    <row r="427" spans="1:10" x14ac:dyDescent="0.45">
      <c r="A427" s="2" t="s">
        <v>354</v>
      </c>
      <c r="B427" s="2" t="str">
        <f t="shared" si="54"/>
        <v>Female</v>
      </c>
      <c r="C427" s="2" t="str">
        <f t="shared" si="55"/>
        <v>United States</v>
      </c>
      <c r="D427" s="2" t="str">
        <f t="shared" si="56"/>
        <v>English</v>
      </c>
      <c r="E427" s="2" t="str">
        <f t="shared" si="57"/>
        <v>R&amp;B</v>
      </c>
      <c r="F427" s="2" t="str">
        <f t="shared" si="58"/>
        <v>Solo</v>
      </c>
      <c r="G427" s="2">
        <f t="shared" si="59"/>
        <v>2018</v>
      </c>
      <c r="H427" s="2">
        <f t="shared" si="60"/>
        <v>10756.4</v>
      </c>
      <c r="I427" s="2">
        <f t="shared" si="61"/>
        <v>7776.1</v>
      </c>
      <c r="J427" s="2">
        <f t="shared" si="62"/>
        <v>2980.3</v>
      </c>
    </row>
    <row r="428" spans="1:10" x14ac:dyDescent="0.45">
      <c r="A428" s="2" t="s">
        <v>206</v>
      </c>
      <c r="B428" s="2" t="str">
        <f t="shared" si="54"/>
        <v>Male</v>
      </c>
      <c r="C428" s="2" t="str">
        <f t="shared" si="55"/>
        <v>United States</v>
      </c>
      <c r="D428" s="2" t="str">
        <f t="shared" si="56"/>
        <v>English</v>
      </c>
      <c r="E428" s="2" t="str">
        <f t="shared" si="57"/>
        <v>Hip-Hop</v>
      </c>
      <c r="F428" s="2" t="str">
        <f t="shared" si="58"/>
        <v>Solo</v>
      </c>
      <c r="G428" s="2">
        <f t="shared" si="59"/>
        <v>2010</v>
      </c>
      <c r="H428" s="2">
        <f t="shared" si="60"/>
        <v>15746</v>
      </c>
      <c r="I428" s="2">
        <f t="shared" si="61"/>
        <v>502.4</v>
      </c>
      <c r="J428" s="2">
        <f t="shared" si="62"/>
        <v>15243.6</v>
      </c>
    </row>
    <row r="429" spans="1:10" x14ac:dyDescent="0.45">
      <c r="A429" s="2" t="s">
        <v>277</v>
      </c>
      <c r="B429" s="2" t="str">
        <f t="shared" si="54"/>
        <v>Male</v>
      </c>
      <c r="C429" s="2" t="str">
        <f t="shared" si="55"/>
        <v>United States</v>
      </c>
      <c r="D429" s="2" t="str">
        <f t="shared" si="56"/>
        <v>English</v>
      </c>
      <c r="E429" s="2" t="str">
        <f t="shared" si="57"/>
        <v>Metal</v>
      </c>
      <c r="F429" s="2" t="str">
        <f t="shared" si="58"/>
        <v>Group</v>
      </c>
      <c r="G429" s="2">
        <f t="shared" si="59"/>
        <v>1998</v>
      </c>
      <c r="H429" s="2">
        <f t="shared" si="60"/>
        <v>13009.4</v>
      </c>
      <c r="I429" s="2">
        <f t="shared" si="61"/>
        <v>13017.1</v>
      </c>
      <c r="J429" s="2">
        <f t="shared" si="62"/>
        <v>0</v>
      </c>
    </row>
    <row r="430" spans="1:10" x14ac:dyDescent="0.45">
      <c r="A430" s="2" t="s">
        <v>56</v>
      </c>
      <c r="B430" s="2" t="str">
        <f t="shared" si="54"/>
        <v>Female</v>
      </c>
      <c r="C430" s="2" t="str">
        <f t="shared" si="55"/>
        <v>United States</v>
      </c>
      <c r="D430" s="2" t="str">
        <f t="shared" si="56"/>
        <v>English</v>
      </c>
      <c r="E430" s="2" t="str">
        <f t="shared" si="57"/>
        <v>R&amp;B</v>
      </c>
      <c r="F430" s="2" t="str">
        <f t="shared" si="58"/>
        <v>Solo</v>
      </c>
      <c r="G430" s="2">
        <f t="shared" si="59"/>
        <v>2012</v>
      </c>
      <c r="H430" s="2">
        <f t="shared" si="60"/>
        <v>38879.599999999999</v>
      </c>
      <c r="I430" s="2">
        <f t="shared" si="61"/>
        <v>25267.5</v>
      </c>
      <c r="J430" s="2">
        <f t="shared" si="62"/>
        <v>13627.2</v>
      </c>
    </row>
    <row r="431" spans="1:10" x14ac:dyDescent="0.45">
      <c r="A431" s="2" t="s">
        <v>424</v>
      </c>
      <c r="B431" s="2" t="str">
        <f t="shared" si="54"/>
        <v>Male</v>
      </c>
      <c r="C431" s="2" t="str">
        <f t="shared" si="55"/>
        <v>United States</v>
      </c>
      <c r="D431" s="2" t="str">
        <f t="shared" si="56"/>
        <v>English</v>
      </c>
      <c r="E431" s="2" t="str">
        <f t="shared" si="57"/>
        <v>Hip-Hop</v>
      </c>
      <c r="F431" s="2" t="str">
        <f t="shared" si="58"/>
        <v>Solo</v>
      </c>
      <c r="G431" s="2">
        <f t="shared" si="59"/>
        <v>2001</v>
      </c>
      <c r="H431" s="2">
        <f t="shared" si="60"/>
        <v>9084.9</v>
      </c>
      <c r="I431" s="2">
        <f t="shared" si="61"/>
        <v>4560.6000000000004</v>
      </c>
      <c r="J431" s="2">
        <f t="shared" si="62"/>
        <v>4524.3</v>
      </c>
    </row>
    <row r="432" spans="1:10" x14ac:dyDescent="0.45">
      <c r="A432" s="2" t="s">
        <v>345</v>
      </c>
      <c r="B432" s="2" t="str">
        <f t="shared" si="54"/>
        <v>Male</v>
      </c>
      <c r="C432" s="2" t="str">
        <f t="shared" si="55"/>
        <v>United States</v>
      </c>
      <c r="D432" s="2" t="str">
        <f t="shared" si="56"/>
        <v>Spanish</v>
      </c>
      <c r="E432" s="2" t="str">
        <f t="shared" si="57"/>
        <v>Reggaeton</v>
      </c>
      <c r="F432" s="2" t="str">
        <f t="shared" si="58"/>
        <v>Solo</v>
      </c>
      <c r="G432" s="2">
        <f t="shared" si="59"/>
        <v>2006</v>
      </c>
      <c r="H432" s="2">
        <f t="shared" si="60"/>
        <v>10933.4</v>
      </c>
      <c r="I432" s="2">
        <f t="shared" si="61"/>
        <v>10905.7</v>
      </c>
      <c r="J432" s="2">
        <f t="shared" si="62"/>
        <v>38</v>
      </c>
    </row>
    <row r="433" spans="1:10" x14ac:dyDescent="0.45">
      <c r="A433" s="2" t="s">
        <v>238</v>
      </c>
      <c r="B433" s="2" t="str">
        <f t="shared" si="54"/>
        <v>Male</v>
      </c>
      <c r="C433" s="2" t="str">
        <f t="shared" si="55"/>
        <v>Australia</v>
      </c>
      <c r="D433" s="2" t="str">
        <f t="shared" si="56"/>
        <v>English</v>
      </c>
      <c r="E433" s="2" t="str">
        <f t="shared" si="57"/>
        <v>Rock</v>
      </c>
      <c r="F433" s="2" t="str">
        <f t="shared" si="58"/>
        <v>Solo</v>
      </c>
      <c r="G433" s="2">
        <f t="shared" si="59"/>
        <v>2008</v>
      </c>
      <c r="H433" s="2">
        <f t="shared" si="60"/>
        <v>14387.1</v>
      </c>
      <c r="I433" s="2">
        <f t="shared" si="61"/>
        <v>13232.8</v>
      </c>
      <c r="J433" s="2">
        <f t="shared" si="62"/>
        <v>1165.4000000000001</v>
      </c>
    </row>
    <row r="434" spans="1:10" x14ac:dyDescent="0.45">
      <c r="A434" s="2" t="s">
        <v>444</v>
      </c>
      <c r="B434" s="2" t="str">
        <f t="shared" si="54"/>
        <v>Male</v>
      </c>
      <c r="C434" s="2" t="str">
        <f t="shared" si="55"/>
        <v>India</v>
      </c>
      <c r="D434" s="2" t="str">
        <f t="shared" si="56"/>
        <v>Hindi</v>
      </c>
      <c r="E434" s="2" t="str">
        <f t="shared" si="57"/>
        <v>Filmi</v>
      </c>
      <c r="F434" s="2" t="str">
        <f t="shared" si="58"/>
        <v>Solo</v>
      </c>
      <c r="G434" s="2">
        <f t="shared" si="59"/>
        <v>2015</v>
      </c>
      <c r="H434" s="2">
        <f t="shared" si="60"/>
        <v>8733</v>
      </c>
      <c r="I434" s="2">
        <f t="shared" si="61"/>
        <v>2987.7</v>
      </c>
      <c r="J434" s="2">
        <f t="shared" si="62"/>
        <v>5745.3</v>
      </c>
    </row>
    <row r="435" spans="1:10" x14ac:dyDescent="0.45">
      <c r="A435" s="2" t="s">
        <v>160</v>
      </c>
      <c r="B435" s="2" t="str">
        <f t="shared" si="54"/>
        <v>Female</v>
      </c>
      <c r="C435" s="2" t="str">
        <f t="shared" si="55"/>
        <v>Canada</v>
      </c>
      <c r="D435" s="2" t="str">
        <f t="shared" si="56"/>
        <v>English</v>
      </c>
      <c r="E435" s="2" t="str">
        <f t="shared" si="57"/>
        <v>Pop</v>
      </c>
      <c r="F435" s="2" t="str">
        <f t="shared" si="58"/>
        <v>Solo</v>
      </c>
      <c r="G435" s="2">
        <f t="shared" si="59"/>
        <v>2017</v>
      </c>
      <c r="H435" s="2">
        <f t="shared" si="60"/>
        <v>18707.3</v>
      </c>
      <c r="I435" s="2">
        <f t="shared" si="61"/>
        <v>16893.7</v>
      </c>
      <c r="J435" s="2">
        <f t="shared" si="62"/>
        <v>1823.3</v>
      </c>
    </row>
    <row r="436" spans="1:10" x14ac:dyDescent="0.45">
      <c r="A436" s="2" t="s">
        <v>6</v>
      </c>
      <c r="B436" s="2" t="str">
        <f t="shared" si="54"/>
        <v>Female</v>
      </c>
      <c r="C436" s="2" t="str">
        <f t="shared" si="55"/>
        <v>United States</v>
      </c>
      <c r="D436" s="2" t="str">
        <f t="shared" si="56"/>
        <v>English</v>
      </c>
      <c r="E436" s="2" t="str">
        <f t="shared" si="57"/>
        <v>Pop</v>
      </c>
      <c r="F436" s="2" t="str">
        <f t="shared" si="58"/>
        <v>Solo</v>
      </c>
      <c r="G436" s="2">
        <f t="shared" si="59"/>
        <v>2006</v>
      </c>
      <c r="H436" s="2">
        <f t="shared" si="60"/>
        <v>127861</v>
      </c>
      <c r="I436" s="2">
        <f t="shared" si="61"/>
        <v>126177.3</v>
      </c>
      <c r="J436" s="2">
        <f t="shared" si="62"/>
        <v>1683.8</v>
      </c>
    </row>
    <row r="437" spans="1:10" x14ac:dyDescent="0.45">
      <c r="A437" s="2" t="s">
        <v>420</v>
      </c>
      <c r="B437" s="2" t="str">
        <f t="shared" si="54"/>
        <v>Male</v>
      </c>
      <c r="C437" s="2" t="str">
        <f t="shared" si="55"/>
        <v>United States</v>
      </c>
      <c r="D437" s="2" t="str">
        <f t="shared" si="56"/>
        <v>English</v>
      </c>
      <c r="E437" s="2" t="str">
        <f t="shared" si="57"/>
        <v>Pop</v>
      </c>
      <c r="F437" s="2" t="str">
        <f t="shared" si="58"/>
        <v>Solo</v>
      </c>
      <c r="G437" s="2">
        <f t="shared" si="59"/>
        <v>2019</v>
      </c>
      <c r="H437" s="2">
        <f t="shared" si="60"/>
        <v>9177.5</v>
      </c>
      <c r="I437" s="2">
        <f t="shared" si="61"/>
        <v>7949</v>
      </c>
      <c r="J437" s="2">
        <f t="shared" si="62"/>
        <v>1236.7</v>
      </c>
    </row>
    <row r="438" spans="1:10" x14ac:dyDescent="0.45">
      <c r="A438" s="2" t="s">
        <v>362</v>
      </c>
      <c r="B438" s="2" t="str">
        <f t="shared" si="54"/>
        <v>Male</v>
      </c>
      <c r="C438" s="2" t="str">
        <f t="shared" si="55"/>
        <v>United Kingdom</v>
      </c>
      <c r="D438" s="2" t="str">
        <f t="shared" si="56"/>
        <v>English</v>
      </c>
      <c r="E438" s="2" t="str">
        <f t="shared" si="57"/>
        <v>Rock</v>
      </c>
      <c r="F438" s="2" t="str">
        <f t="shared" si="58"/>
        <v>Group</v>
      </c>
      <c r="G438" s="2">
        <f t="shared" si="59"/>
        <v>2012</v>
      </c>
      <c r="H438" s="2">
        <f t="shared" si="60"/>
        <v>10489.6</v>
      </c>
      <c r="I438" s="2">
        <f t="shared" si="61"/>
        <v>10191.700000000001</v>
      </c>
      <c r="J438" s="2">
        <f t="shared" si="62"/>
        <v>301.5</v>
      </c>
    </row>
    <row r="439" spans="1:10" x14ac:dyDescent="0.45">
      <c r="A439" s="2" t="s">
        <v>105</v>
      </c>
      <c r="B439" s="2" t="str">
        <f t="shared" si="54"/>
        <v>Male</v>
      </c>
      <c r="C439" s="2" t="str">
        <f t="shared" si="55"/>
        <v>United Kingdom</v>
      </c>
      <c r="D439" s="2" t="str">
        <f t="shared" si="56"/>
        <v>English</v>
      </c>
      <c r="E439" s="2" t="str">
        <f t="shared" si="57"/>
        <v>Rock</v>
      </c>
      <c r="F439" s="2" t="str">
        <f t="shared" si="58"/>
        <v>Group</v>
      </c>
      <c r="G439" s="2">
        <f t="shared" si="59"/>
        <v>1962</v>
      </c>
      <c r="H439" s="2">
        <f t="shared" si="60"/>
        <v>26130.5</v>
      </c>
      <c r="I439" s="2">
        <f t="shared" si="61"/>
        <v>26138.7</v>
      </c>
      <c r="J439" s="2">
        <f t="shared" si="62"/>
        <v>2.2000000000000002</v>
      </c>
    </row>
    <row r="440" spans="1:10" x14ac:dyDescent="0.45">
      <c r="A440" s="2" t="s">
        <v>121</v>
      </c>
      <c r="B440" s="2" t="str">
        <f t="shared" si="54"/>
        <v>Male</v>
      </c>
      <c r="C440" s="2" t="str">
        <f t="shared" si="55"/>
        <v>United States</v>
      </c>
      <c r="D440" s="2" t="str">
        <f t="shared" si="56"/>
        <v>English</v>
      </c>
      <c r="E440" s="2" t="str">
        <f t="shared" si="57"/>
        <v>EDM</v>
      </c>
      <c r="F440" s="2" t="str">
        <f t="shared" si="58"/>
        <v>Group</v>
      </c>
      <c r="G440" s="2">
        <f t="shared" si="59"/>
        <v>2012</v>
      </c>
      <c r="H440" s="2">
        <f t="shared" si="60"/>
        <v>23845.1</v>
      </c>
      <c r="I440" s="2">
        <f t="shared" si="61"/>
        <v>22661.5</v>
      </c>
      <c r="J440" s="2">
        <f t="shared" si="62"/>
        <v>1189.8</v>
      </c>
    </row>
    <row r="441" spans="1:10" x14ac:dyDescent="0.45">
      <c r="A441" s="2" t="s">
        <v>576</v>
      </c>
      <c r="B441" s="2" t="str">
        <f t="shared" si="54"/>
        <v>Male</v>
      </c>
      <c r="C441" s="2" t="str">
        <f t="shared" si="55"/>
        <v>United Kingdom</v>
      </c>
      <c r="D441" s="2" t="str">
        <f t="shared" si="56"/>
        <v>English</v>
      </c>
      <c r="E441" s="2" t="str">
        <f t="shared" si="57"/>
        <v>Rock</v>
      </c>
      <c r="F441" s="2" t="str">
        <f t="shared" si="58"/>
        <v>Group</v>
      </c>
      <c r="G441" s="2">
        <f t="shared" si="59"/>
        <v>1979</v>
      </c>
      <c r="H441" s="2">
        <f t="shared" si="60"/>
        <v>7034.1</v>
      </c>
      <c r="I441" s="2">
        <f t="shared" si="61"/>
        <v>7035</v>
      </c>
      <c r="J441" s="2">
        <f t="shared" si="62"/>
        <v>3.3</v>
      </c>
    </row>
    <row r="442" spans="1:10" x14ac:dyDescent="0.45">
      <c r="A442" s="2" t="s">
        <v>212</v>
      </c>
      <c r="B442" s="2" t="str">
        <f t="shared" si="54"/>
        <v>Male</v>
      </c>
      <c r="C442" s="2" t="str">
        <f t="shared" si="55"/>
        <v>Australia</v>
      </c>
      <c r="D442" s="2" t="str">
        <f t="shared" si="56"/>
        <v>English</v>
      </c>
      <c r="E442" s="2" t="str">
        <f t="shared" si="57"/>
        <v>Hip-Hop</v>
      </c>
      <c r="F442" s="2" t="str">
        <f t="shared" si="58"/>
        <v>Solo</v>
      </c>
      <c r="G442" s="2">
        <f t="shared" si="59"/>
        <v>2018</v>
      </c>
      <c r="H442" s="2">
        <f t="shared" si="60"/>
        <v>15561.7</v>
      </c>
      <c r="I442" s="2">
        <f t="shared" si="61"/>
        <v>10487.9</v>
      </c>
      <c r="J442" s="2">
        <f t="shared" si="62"/>
        <v>5077.6000000000004</v>
      </c>
    </row>
    <row r="443" spans="1:10" x14ac:dyDescent="0.45">
      <c r="A443" s="2" t="s">
        <v>352</v>
      </c>
      <c r="B443" s="2" t="str">
        <f t="shared" si="54"/>
        <v>Male</v>
      </c>
      <c r="C443" s="2" t="str">
        <f t="shared" si="55"/>
        <v>United States</v>
      </c>
      <c r="D443" s="2" t="str">
        <f t="shared" si="56"/>
        <v>English</v>
      </c>
      <c r="E443" s="2" t="str">
        <f t="shared" si="57"/>
        <v>Rock</v>
      </c>
      <c r="F443" s="2" t="str">
        <f t="shared" si="58"/>
        <v>Group</v>
      </c>
      <c r="G443" s="2">
        <f t="shared" si="59"/>
        <v>2004</v>
      </c>
      <c r="H443" s="2">
        <f t="shared" si="60"/>
        <v>10767.6</v>
      </c>
      <c r="I443" s="2">
        <f t="shared" si="61"/>
        <v>1893.8</v>
      </c>
      <c r="J443" s="2">
        <f t="shared" si="62"/>
        <v>8878.2000000000007</v>
      </c>
    </row>
    <row r="444" spans="1:10" x14ac:dyDescent="0.45">
      <c r="A444" s="2" t="s">
        <v>403</v>
      </c>
      <c r="B444" s="2" t="str">
        <f t="shared" si="54"/>
        <v>Male</v>
      </c>
      <c r="C444" s="2" t="str">
        <f t="shared" si="55"/>
        <v>United States</v>
      </c>
      <c r="D444" s="2" t="str">
        <f t="shared" si="56"/>
        <v>English</v>
      </c>
      <c r="E444" s="2" t="str">
        <f t="shared" si="57"/>
        <v>Folk</v>
      </c>
      <c r="F444" s="2" t="str">
        <f t="shared" si="58"/>
        <v>Group</v>
      </c>
      <c r="G444" s="2">
        <f t="shared" si="59"/>
        <v>2012</v>
      </c>
      <c r="H444" s="2">
        <f t="shared" si="60"/>
        <v>9666.1</v>
      </c>
      <c r="I444" s="2">
        <f t="shared" si="61"/>
        <v>9207.9</v>
      </c>
      <c r="J444" s="2">
        <f t="shared" si="62"/>
        <v>460.8</v>
      </c>
    </row>
    <row r="445" spans="1:10" x14ac:dyDescent="0.45">
      <c r="A445" s="2" t="s">
        <v>577</v>
      </c>
      <c r="B445" s="2" t="str">
        <f t="shared" si="54"/>
        <v>Mixed</v>
      </c>
      <c r="C445" s="2" t="str">
        <f t="shared" si="55"/>
        <v>United States</v>
      </c>
      <c r="D445" s="2" t="str">
        <f t="shared" si="56"/>
        <v>English</v>
      </c>
      <c r="E445" s="2" t="str">
        <f t="shared" si="57"/>
        <v>Pop</v>
      </c>
      <c r="F445" s="2" t="str">
        <f t="shared" si="58"/>
        <v>Group</v>
      </c>
      <c r="G445" s="2">
        <f t="shared" si="59"/>
        <v>2017</v>
      </c>
      <c r="H445" s="2">
        <f t="shared" si="60"/>
        <v>7029.1</v>
      </c>
      <c r="I445" s="2">
        <f t="shared" si="61"/>
        <v>5774.4</v>
      </c>
      <c r="J445" s="2">
        <f t="shared" si="62"/>
        <v>1261.4000000000001</v>
      </c>
    </row>
    <row r="446" spans="1:10" x14ac:dyDescent="0.45">
      <c r="A446" s="2" t="s">
        <v>150</v>
      </c>
      <c r="B446" s="2" t="str">
        <f t="shared" si="54"/>
        <v>Male</v>
      </c>
      <c r="C446" s="2" t="str">
        <f t="shared" si="55"/>
        <v>United States</v>
      </c>
      <c r="D446" s="2" t="str">
        <f t="shared" si="56"/>
        <v>English</v>
      </c>
      <c r="E446" s="2" t="str">
        <f t="shared" si="57"/>
        <v>Alternative</v>
      </c>
      <c r="F446" s="2" t="str">
        <f t="shared" si="58"/>
        <v>Group</v>
      </c>
      <c r="G446" s="2">
        <f t="shared" si="59"/>
        <v>2011</v>
      </c>
      <c r="H446" s="2">
        <f t="shared" si="60"/>
        <v>19440.5</v>
      </c>
      <c r="I446" s="2">
        <f t="shared" si="61"/>
        <v>19435.599999999999</v>
      </c>
      <c r="J446" s="2">
        <f t="shared" si="62"/>
        <v>14.3</v>
      </c>
    </row>
    <row r="447" spans="1:10" x14ac:dyDescent="0.45">
      <c r="A447" s="2" t="s">
        <v>343</v>
      </c>
      <c r="B447" s="2" t="str">
        <f t="shared" si="54"/>
        <v>Male</v>
      </c>
      <c r="C447" s="2" t="str">
        <f t="shared" si="55"/>
        <v>United States</v>
      </c>
      <c r="D447" s="2" t="str">
        <f t="shared" si="56"/>
        <v>English</v>
      </c>
      <c r="E447" s="2" t="str">
        <f t="shared" si="57"/>
        <v>Hip-Hop</v>
      </c>
      <c r="F447" s="2" t="str">
        <f t="shared" si="58"/>
        <v>Solo</v>
      </c>
      <c r="G447" s="2">
        <f t="shared" si="59"/>
        <v>1993</v>
      </c>
      <c r="H447" s="2">
        <f t="shared" si="60"/>
        <v>10968.8</v>
      </c>
      <c r="I447" s="2">
        <f t="shared" si="61"/>
        <v>5006.3999999999996</v>
      </c>
      <c r="J447" s="2">
        <f t="shared" si="62"/>
        <v>5977.1</v>
      </c>
    </row>
    <row r="448" spans="1:10" x14ac:dyDescent="0.45">
      <c r="A448" s="2" t="s">
        <v>472</v>
      </c>
      <c r="B448" s="2" t="str">
        <f t="shared" si="54"/>
        <v>Male</v>
      </c>
      <c r="C448" s="2" t="str">
        <f t="shared" si="55"/>
        <v>United States</v>
      </c>
      <c r="D448" s="2" t="str">
        <f t="shared" si="56"/>
        <v>English</v>
      </c>
      <c r="E448" s="2" t="str">
        <f t="shared" si="57"/>
        <v>Rock</v>
      </c>
      <c r="F448" s="2" t="str">
        <f t="shared" si="58"/>
        <v>Group</v>
      </c>
      <c r="G448" s="2">
        <f t="shared" si="59"/>
        <v>1989</v>
      </c>
      <c r="H448" s="2">
        <f t="shared" si="60"/>
        <v>8330.4</v>
      </c>
      <c r="I448" s="2">
        <f t="shared" si="61"/>
        <v>8328.6</v>
      </c>
      <c r="J448" s="2">
        <f t="shared" si="62"/>
        <v>5.6</v>
      </c>
    </row>
    <row r="449" spans="1:10" x14ac:dyDescent="0.45">
      <c r="A449" s="2" t="s">
        <v>500</v>
      </c>
      <c r="B449" s="2" t="str">
        <f t="shared" si="54"/>
        <v>Male</v>
      </c>
      <c r="C449" s="2" t="str">
        <f t="shared" si="55"/>
        <v>United Kingdom</v>
      </c>
      <c r="D449" s="2" t="str">
        <f t="shared" si="56"/>
        <v>English</v>
      </c>
      <c r="E449" s="2" t="str">
        <f t="shared" si="57"/>
        <v>Rock</v>
      </c>
      <c r="F449" s="2" t="str">
        <f t="shared" si="58"/>
        <v>Group</v>
      </c>
      <c r="G449" s="2">
        <f t="shared" si="59"/>
        <v>1977</v>
      </c>
      <c r="H449" s="2">
        <f t="shared" si="60"/>
        <v>7976.6</v>
      </c>
      <c r="I449" s="2">
        <f t="shared" si="61"/>
        <v>7980.4</v>
      </c>
      <c r="J449" s="2">
        <f t="shared" si="62"/>
        <v>0.6</v>
      </c>
    </row>
    <row r="450" spans="1:10" x14ac:dyDescent="0.45">
      <c r="A450" s="2" t="s">
        <v>296</v>
      </c>
      <c r="B450" s="2" t="str">
        <f t="shared" ref="B450:B501" si="63">VLOOKUP(A450,Spotify1,2,FALSE)</f>
        <v>Male</v>
      </c>
      <c r="C450" s="2" t="str">
        <f t="shared" ref="C450:C501" si="64">VLOOKUP(A450,Spotify1,3,FALSE)</f>
        <v>United Kingdom</v>
      </c>
      <c r="D450" s="2" t="str">
        <f t="shared" ref="D450:D501" si="65">VLOOKUP(A450,Spotify1,4,FALSE)</f>
        <v>English</v>
      </c>
      <c r="E450" s="2" t="str">
        <f t="shared" ref="E450:E501" si="66">VLOOKUP(A450,Spotify1,5,FALSE)</f>
        <v>Rock</v>
      </c>
      <c r="F450" s="2" t="str">
        <f t="shared" ref="F450:F501" si="67">VLOOKUP(A450,Spotify1,6,FALSE)</f>
        <v>Group</v>
      </c>
      <c r="G450" s="2">
        <f t="shared" ref="G450:G501" si="68">VLOOKUP(A450,Spotify1,7,FALSE)</f>
        <v>1964</v>
      </c>
      <c r="H450" s="2">
        <f t="shared" ref="H450:H501" si="69">VLOOKUP(A450,Spotify1,8,FALSE)</f>
        <v>12566.2</v>
      </c>
      <c r="I450" s="2">
        <f t="shared" ref="I450:I501" si="70">VLOOKUP(A450,Spotify1,9,FALSE)</f>
        <v>4905.7</v>
      </c>
      <c r="J450" s="2">
        <f t="shared" ref="J450:J501" si="71">VLOOKUP(A450,Spotify1,10,FALSE)</f>
        <v>7658.9</v>
      </c>
    </row>
    <row r="451" spans="1:10" x14ac:dyDescent="0.45">
      <c r="A451" s="2" t="s">
        <v>458</v>
      </c>
      <c r="B451" s="2" t="str">
        <f t="shared" si="63"/>
        <v>Male</v>
      </c>
      <c r="C451" s="2" t="str">
        <f t="shared" si="64"/>
        <v>Ireland</v>
      </c>
      <c r="D451" s="2" t="str">
        <f t="shared" si="65"/>
        <v>English</v>
      </c>
      <c r="E451" s="2" t="str">
        <f t="shared" si="66"/>
        <v>Rock</v>
      </c>
      <c r="F451" s="2" t="str">
        <f t="shared" si="67"/>
        <v>Group</v>
      </c>
      <c r="G451" s="2">
        <f t="shared" si="68"/>
        <v>2008</v>
      </c>
      <c r="H451" s="2">
        <f t="shared" si="69"/>
        <v>8509.5</v>
      </c>
      <c r="I451" s="2">
        <f t="shared" si="70"/>
        <v>8483.9</v>
      </c>
      <c r="J451" s="2">
        <f t="shared" si="71"/>
        <v>29.2</v>
      </c>
    </row>
    <row r="452" spans="1:10" x14ac:dyDescent="0.45">
      <c r="A452" s="2" t="s">
        <v>498</v>
      </c>
      <c r="B452" s="2" t="str">
        <f t="shared" si="63"/>
        <v>Male</v>
      </c>
      <c r="C452" s="2" t="str">
        <f t="shared" si="64"/>
        <v>United Kingdom</v>
      </c>
      <c r="D452" s="2" t="str">
        <f t="shared" si="65"/>
        <v>English</v>
      </c>
      <c r="E452" s="2" t="str">
        <f t="shared" si="66"/>
        <v>Rock</v>
      </c>
      <c r="F452" s="2" t="str">
        <f t="shared" si="67"/>
        <v>Group</v>
      </c>
      <c r="G452" s="2">
        <f t="shared" si="68"/>
        <v>1983</v>
      </c>
      <c r="H452" s="2">
        <f t="shared" si="69"/>
        <v>8014.7</v>
      </c>
      <c r="I452" s="2">
        <f t="shared" si="70"/>
        <v>8019.1</v>
      </c>
      <c r="J452" s="2">
        <f t="shared" si="71"/>
        <v>0</v>
      </c>
    </row>
    <row r="453" spans="1:10" x14ac:dyDescent="0.45">
      <c r="A453" s="2" t="s">
        <v>502</v>
      </c>
      <c r="B453" s="2" t="str">
        <f t="shared" si="63"/>
        <v>Male</v>
      </c>
      <c r="C453" s="2" t="str">
        <f t="shared" si="64"/>
        <v>United States</v>
      </c>
      <c r="D453" s="2" t="str">
        <f t="shared" si="65"/>
        <v>English</v>
      </c>
      <c r="E453" s="2" t="str">
        <f t="shared" si="66"/>
        <v>Rock</v>
      </c>
      <c r="F453" s="2" t="str">
        <f t="shared" si="67"/>
        <v>Group</v>
      </c>
      <c r="G453" s="2">
        <f t="shared" si="68"/>
        <v>2001</v>
      </c>
      <c r="H453" s="2">
        <f t="shared" si="69"/>
        <v>7934.8</v>
      </c>
      <c r="I453" s="2">
        <f t="shared" si="70"/>
        <v>4641.5</v>
      </c>
      <c r="J453" s="2">
        <f t="shared" si="71"/>
        <v>3299.4</v>
      </c>
    </row>
    <row r="454" spans="1:10" x14ac:dyDescent="0.45">
      <c r="A454" s="2" t="s">
        <v>13</v>
      </c>
      <c r="B454" s="2" t="str">
        <f t="shared" si="63"/>
        <v>Male</v>
      </c>
      <c r="C454" s="2" t="str">
        <f t="shared" si="64"/>
        <v>Canada</v>
      </c>
      <c r="D454" s="2" t="str">
        <f t="shared" si="65"/>
        <v>English</v>
      </c>
      <c r="E454" s="2" t="str">
        <f t="shared" si="66"/>
        <v>R&amp;B</v>
      </c>
      <c r="F454" s="2" t="str">
        <f t="shared" si="67"/>
        <v>Solo</v>
      </c>
      <c r="G454" s="2">
        <f t="shared" si="68"/>
        <v>2009</v>
      </c>
      <c r="H454" s="2">
        <f t="shared" si="69"/>
        <v>95703.2</v>
      </c>
      <c r="I454" s="2">
        <f t="shared" si="70"/>
        <v>77189.399999999994</v>
      </c>
      <c r="J454" s="2">
        <f t="shared" si="71"/>
        <v>18513.8</v>
      </c>
    </row>
    <row r="455" spans="1:10" x14ac:dyDescent="0.45">
      <c r="A455" s="2" t="s">
        <v>554</v>
      </c>
      <c r="B455" s="2" t="str">
        <f t="shared" si="63"/>
        <v>Male</v>
      </c>
      <c r="C455" s="2" t="str">
        <f t="shared" si="64"/>
        <v>United States</v>
      </c>
      <c r="D455" s="2" t="str">
        <f t="shared" si="65"/>
        <v>English</v>
      </c>
      <c r="E455" s="2" t="str">
        <f t="shared" si="66"/>
        <v>Country</v>
      </c>
      <c r="F455" s="2" t="str">
        <f t="shared" si="67"/>
        <v>Solo</v>
      </c>
      <c r="G455" s="2">
        <f t="shared" si="68"/>
        <v>2012</v>
      </c>
      <c r="H455" s="2">
        <f t="shared" si="69"/>
        <v>7337.5</v>
      </c>
      <c r="I455" s="2">
        <f t="shared" si="70"/>
        <v>3928</v>
      </c>
      <c r="J455" s="2">
        <f t="shared" si="71"/>
        <v>3422.3</v>
      </c>
    </row>
    <row r="456" spans="1:10" x14ac:dyDescent="0.45">
      <c r="A456" s="2" t="s">
        <v>484</v>
      </c>
      <c r="B456" s="2" t="str">
        <f t="shared" si="63"/>
        <v>Male</v>
      </c>
      <c r="C456" s="2" t="str">
        <f t="shared" si="64"/>
        <v>Canada</v>
      </c>
      <c r="D456" s="2" t="str">
        <f t="shared" si="65"/>
        <v>English</v>
      </c>
      <c r="E456" s="2" t="str">
        <f t="shared" si="66"/>
        <v>Rock</v>
      </c>
      <c r="F456" s="2" t="str">
        <f t="shared" si="67"/>
        <v>Group</v>
      </c>
      <c r="G456" s="2">
        <f t="shared" si="68"/>
        <v>2003</v>
      </c>
      <c r="H456" s="2">
        <f t="shared" si="69"/>
        <v>8203</v>
      </c>
      <c r="I456" s="2">
        <f t="shared" si="70"/>
        <v>7983.1</v>
      </c>
      <c r="J456" s="2">
        <f t="shared" si="71"/>
        <v>224.9</v>
      </c>
    </row>
    <row r="457" spans="1:10" x14ac:dyDescent="0.45">
      <c r="A457" s="2" t="s">
        <v>551</v>
      </c>
      <c r="B457" s="2" t="str">
        <f t="shared" si="63"/>
        <v>Male</v>
      </c>
      <c r="C457" s="2" t="str">
        <f t="shared" si="64"/>
        <v>Argentina</v>
      </c>
      <c r="D457" s="2" t="str">
        <f t="shared" si="65"/>
        <v>Spanish</v>
      </c>
      <c r="E457" s="2" t="str">
        <f t="shared" si="66"/>
        <v>Hip-Hop</v>
      </c>
      <c r="F457" s="2" t="str">
        <f t="shared" si="67"/>
        <v>Solo</v>
      </c>
      <c r="G457" s="2">
        <f t="shared" si="68"/>
        <v>2018</v>
      </c>
      <c r="H457" s="2">
        <f t="shared" si="69"/>
        <v>7377.9</v>
      </c>
      <c r="I457" s="2">
        <f t="shared" si="70"/>
        <v>4274.5</v>
      </c>
      <c r="J457" s="2">
        <f t="shared" si="71"/>
        <v>3113.3</v>
      </c>
    </row>
    <row r="458" spans="1:10" x14ac:dyDescent="0.45">
      <c r="A458" s="2" t="s">
        <v>167</v>
      </c>
      <c r="B458" s="2" t="str">
        <f t="shared" si="63"/>
        <v>Male</v>
      </c>
      <c r="C458" s="2" t="str">
        <f t="shared" si="64"/>
        <v>Netherlands</v>
      </c>
      <c r="D458" s="2" t="str">
        <f t="shared" si="65"/>
        <v>English</v>
      </c>
      <c r="E458" s="2" t="str">
        <f t="shared" si="66"/>
        <v>EDM</v>
      </c>
      <c r="F458" s="2" t="str">
        <f t="shared" si="67"/>
        <v>Solo</v>
      </c>
      <c r="G458" s="2">
        <f t="shared" si="68"/>
        <v>1994</v>
      </c>
      <c r="H458" s="2">
        <f t="shared" si="69"/>
        <v>18217.099999999999</v>
      </c>
      <c r="I458" s="2">
        <f t="shared" si="70"/>
        <v>13653.1</v>
      </c>
      <c r="J458" s="2">
        <f t="shared" si="71"/>
        <v>4569.1000000000004</v>
      </c>
    </row>
    <row r="459" spans="1:10" x14ac:dyDescent="0.45">
      <c r="A459" s="2" t="s">
        <v>401</v>
      </c>
      <c r="B459" s="2" t="str">
        <f t="shared" si="63"/>
        <v>Male</v>
      </c>
      <c r="C459" s="2" t="str">
        <f t="shared" si="64"/>
        <v>United States</v>
      </c>
      <c r="D459" s="2" t="str">
        <f t="shared" si="65"/>
        <v>English</v>
      </c>
      <c r="E459" s="2" t="str">
        <f t="shared" si="66"/>
        <v>Hip-Hop</v>
      </c>
      <c r="F459" s="2" t="str">
        <f t="shared" si="67"/>
        <v>Solo</v>
      </c>
      <c r="G459" s="2">
        <f t="shared" si="68"/>
        <v>1997</v>
      </c>
      <c r="H459" s="2">
        <f t="shared" si="69"/>
        <v>9734</v>
      </c>
      <c r="I459" s="2">
        <f t="shared" si="70"/>
        <v>4314.3</v>
      </c>
      <c r="J459" s="2">
        <f t="shared" si="71"/>
        <v>5425.4</v>
      </c>
    </row>
    <row r="460" spans="1:10" x14ac:dyDescent="0.45">
      <c r="A460" s="2" t="s">
        <v>459</v>
      </c>
      <c r="B460" s="2" t="str">
        <f t="shared" si="63"/>
        <v>Female</v>
      </c>
      <c r="C460" s="2" t="str">
        <f t="shared" si="64"/>
        <v>Argentina</v>
      </c>
      <c r="D460" s="2" t="str">
        <f t="shared" si="65"/>
        <v>Spanish</v>
      </c>
      <c r="E460" s="2" t="str">
        <f t="shared" si="66"/>
        <v>Pop</v>
      </c>
      <c r="F460" s="2" t="str">
        <f t="shared" si="67"/>
        <v>Solo</v>
      </c>
      <c r="G460" s="2">
        <f t="shared" si="68"/>
        <v>2016</v>
      </c>
      <c r="H460" s="2">
        <f t="shared" si="69"/>
        <v>8507.9</v>
      </c>
      <c r="I460" s="2">
        <f t="shared" si="70"/>
        <v>5811.9</v>
      </c>
      <c r="J460" s="2">
        <f t="shared" si="71"/>
        <v>2696</v>
      </c>
    </row>
    <row r="461" spans="1:10" x14ac:dyDescent="0.45">
      <c r="A461" s="2" t="s">
        <v>242</v>
      </c>
      <c r="B461" s="2" t="str">
        <f t="shared" si="63"/>
        <v>Male</v>
      </c>
      <c r="C461" s="2" t="str">
        <f t="shared" si="64"/>
        <v>Mexico</v>
      </c>
      <c r="D461" s="2" t="str">
        <f t="shared" si="65"/>
        <v>Spanish</v>
      </c>
      <c r="E461" s="2" t="str">
        <f t="shared" si="66"/>
        <v>Regional Mexican</v>
      </c>
      <c r="F461" s="2" t="str">
        <f t="shared" si="67"/>
        <v>Solo</v>
      </c>
      <c r="G461" s="2">
        <f t="shared" si="68"/>
        <v>2023</v>
      </c>
      <c r="H461" s="2">
        <f t="shared" si="69"/>
        <v>14166.6</v>
      </c>
      <c r="I461" s="2">
        <f t="shared" si="70"/>
        <v>7969.4</v>
      </c>
      <c r="J461" s="2">
        <f t="shared" si="71"/>
        <v>6215.6</v>
      </c>
    </row>
    <row r="462" spans="1:10" x14ac:dyDescent="0.45">
      <c r="A462" s="2" t="s">
        <v>552</v>
      </c>
      <c r="B462" s="2" t="str">
        <f t="shared" si="63"/>
        <v>Male</v>
      </c>
      <c r="C462" s="2" t="str">
        <f t="shared" si="64"/>
        <v>United Kingdom</v>
      </c>
      <c r="D462" s="2" t="str">
        <f t="shared" si="65"/>
        <v>English</v>
      </c>
      <c r="E462" s="2" t="str">
        <f t="shared" si="66"/>
        <v>Pop</v>
      </c>
      <c r="F462" s="2" t="str">
        <f t="shared" si="67"/>
        <v>Solo</v>
      </c>
      <c r="G462" s="2">
        <f t="shared" si="68"/>
        <v>2012</v>
      </c>
      <c r="H462" s="2">
        <f t="shared" si="69"/>
        <v>7352.6</v>
      </c>
      <c r="I462" s="2">
        <f t="shared" si="70"/>
        <v>3894</v>
      </c>
      <c r="J462" s="2">
        <f t="shared" si="71"/>
        <v>3483.8</v>
      </c>
    </row>
    <row r="463" spans="1:10" x14ac:dyDescent="0.45">
      <c r="A463" s="2" t="s">
        <v>568</v>
      </c>
      <c r="B463" s="2" t="str">
        <f t="shared" si="63"/>
        <v>Male</v>
      </c>
      <c r="C463" s="2" t="str">
        <f t="shared" si="64"/>
        <v>South Korea</v>
      </c>
      <c r="D463" s="2" t="str">
        <f t="shared" si="65"/>
        <v>Korean</v>
      </c>
      <c r="E463" s="2" t="str">
        <f t="shared" si="66"/>
        <v>K-Pop</v>
      </c>
      <c r="F463" s="2" t="str">
        <f t="shared" si="67"/>
        <v>Group</v>
      </c>
      <c r="G463" s="2">
        <f t="shared" si="68"/>
        <v>2019</v>
      </c>
      <c r="H463" s="2">
        <f t="shared" si="69"/>
        <v>7182.1</v>
      </c>
      <c r="I463" s="2">
        <f t="shared" si="70"/>
        <v>6877.5</v>
      </c>
      <c r="J463" s="2">
        <f t="shared" si="71"/>
        <v>304.7</v>
      </c>
    </row>
    <row r="464" spans="1:10" x14ac:dyDescent="0.45">
      <c r="A464" s="2" t="s">
        <v>201</v>
      </c>
      <c r="B464" s="2" t="str">
        <f t="shared" si="63"/>
        <v>Male</v>
      </c>
      <c r="C464" s="2" t="str">
        <f t="shared" si="64"/>
        <v>Canada</v>
      </c>
      <c r="D464" s="2" t="str">
        <f t="shared" si="65"/>
        <v>English</v>
      </c>
      <c r="E464" s="2" t="str">
        <f t="shared" si="66"/>
        <v>Hip-Hop</v>
      </c>
      <c r="F464" s="2" t="str">
        <f t="shared" si="67"/>
        <v>Solo</v>
      </c>
      <c r="G464" s="2">
        <f t="shared" si="68"/>
        <v>2009</v>
      </c>
      <c r="H464" s="2">
        <f t="shared" si="69"/>
        <v>16021.1</v>
      </c>
      <c r="I464" s="2">
        <f t="shared" si="70"/>
        <v>11602.1</v>
      </c>
      <c r="J464" s="2">
        <f t="shared" si="71"/>
        <v>4424.8</v>
      </c>
    </row>
    <row r="465" spans="1:10" x14ac:dyDescent="0.45">
      <c r="A465" s="2" t="s">
        <v>439</v>
      </c>
      <c r="B465" s="2" t="str">
        <f t="shared" si="63"/>
        <v>Female</v>
      </c>
      <c r="C465" s="2" t="str">
        <f t="shared" si="64"/>
        <v>Sweden</v>
      </c>
      <c r="D465" s="2" t="str">
        <f t="shared" si="65"/>
        <v>English</v>
      </c>
      <c r="E465" s="2" t="str">
        <f t="shared" si="66"/>
        <v>Pop</v>
      </c>
      <c r="F465" s="2" t="str">
        <f t="shared" si="67"/>
        <v>Solo</v>
      </c>
      <c r="G465" s="2">
        <f t="shared" si="68"/>
        <v>2006</v>
      </c>
      <c r="H465" s="2">
        <f t="shared" si="69"/>
        <v>8809.4</v>
      </c>
      <c r="I465" s="2">
        <f t="shared" si="70"/>
        <v>5689.4</v>
      </c>
      <c r="J465" s="2">
        <f t="shared" si="71"/>
        <v>3122.8</v>
      </c>
    </row>
    <row r="466" spans="1:10" x14ac:dyDescent="0.45">
      <c r="A466" s="2" t="s">
        <v>330</v>
      </c>
      <c r="B466" s="2" t="str">
        <f t="shared" si="63"/>
        <v>Male</v>
      </c>
      <c r="C466" s="2" t="str">
        <f t="shared" si="64"/>
        <v>United States</v>
      </c>
      <c r="D466" s="2" t="str">
        <f t="shared" si="65"/>
        <v>English</v>
      </c>
      <c r="E466" s="2" t="str">
        <f t="shared" si="66"/>
        <v>R&amp;B</v>
      </c>
      <c r="F466" s="2" t="str">
        <f t="shared" si="67"/>
        <v>Solo</v>
      </c>
      <c r="G466" s="2">
        <f t="shared" si="68"/>
        <v>2005</v>
      </c>
      <c r="H466" s="2">
        <f t="shared" si="69"/>
        <v>11238.2</v>
      </c>
      <c r="I466" s="2">
        <f t="shared" si="70"/>
        <v>4609.5</v>
      </c>
      <c r="J466" s="2">
        <f t="shared" si="71"/>
        <v>6628.7</v>
      </c>
    </row>
    <row r="467" spans="1:10" x14ac:dyDescent="0.45">
      <c r="A467" s="2" t="s">
        <v>17</v>
      </c>
      <c r="B467" s="2" t="str">
        <f t="shared" si="63"/>
        <v>Male</v>
      </c>
      <c r="C467" s="2" t="str">
        <f t="shared" si="64"/>
        <v>United States</v>
      </c>
      <c r="D467" s="2" t="str">
        <f t="shared" si="65"/>
        <v>English</v>
      </c>
      <c r="E467" s="2" t="str">
        <f t="shared" si="66"/>
        <v>Hip-Hop</v>
      </c>
      <c r="F467" s="2" t="str">
        <f t="shared" si="67"/>
        <v>Solo</v>
      </c>
      <c r="G467" s="2">
        <f t="shared" si="68"/>
        <v>2013</v>
      </c>
      <c r="H467" s="2">
        <f t="shared" si="69"/>
        <v>65349.7</v>
      </c>
      <c r="I467" s="2">
        <f t="shared" si="70"/>
        <v>35338.699999999997</v>
      </c>
      <c r="J467" s="2">
        <f t="shared" si="71"/>
        <v>30027</v>
      </c>
    </row>
    <row r="468" spans="1:10" x14ac:dyDescent="0.45">
      <c r="A468" s="2" t="s">
        <v>159</v>
      </c>
      <c r="B468" s="2" t="str">
        <f t="shared" si="63"/>
        <v>Male</v>
      </c>
      <c r="C468" s="2" t="str">
        <f t="shared" si="64"/>
        <v>United States</v>
      </c>
      <c r="D468" s="2" t="str">
        <f t="shared" si="65"/>
        <v>English</v>
      </c>
      <c r="E468" s="2" t="str">
        <f t="shared" si="66"/>
        <v>Hip-Hop</v>
      </c>
      <c r="F468" s="2" t="str">
        <f t="shared" si="67"/>
        <v>Solo</v>
      </c>
      <c r="G468" s="2">
        <f t="shared" si="68"/>
        <v>2016</v>
      </c>
      <c r="H468" s="2">
        <f t="shared" si="69"/>
        <v>18889.599999999999</v>
      </c>
      <c r="I468" s="2">
        <f t="shared" si="70"/>
        <v>11762.8</v>
      </c>
      <c r="J468" s="2">
        <f t="shared" si="71"/>
        <v>7126.8</v>
      </c>
    </row>
    <row r="469" spans="1:10" x14ac:dyDescent="0.45">
      <c r="A469" s="2" t="s">
        <v>367</v>
      </c>
      <c r="B469" s="2" t="str">
        <f t="shared" si="63"/>
        <v>Male</v>
      </c>
      <c r="C469" s="2" t="str">
        <f t="shared" si="64"/>
        <v>South Africa</v>
      </c>
      <c r="D469" s="2" t="str">
        <f t="shared" si="65"/>
        <v>English</v>
      </c>
      <c r="E469" s="2" t="str">
        <f t="shared" si="66"/>
        <v>Pop</v>
      </c>
      <c r="F469" s="2" t="str">
        <f t="shared" si="67"/>
        <v>Solo</v>
      </c>
      <c r="G469" s="2">
        <f t="shared" si="68"/>
        <v>2006</v>
      </c>
      <c r="H469" s="2">
        <f t="shared" si="69"/>
        <v>10332.799999999999</v>
      </c>
      <c r="I469" s="2">
        <f t="shared" si="70"/>
        <v>7323</v>
      </c>
      <c r="J469" s="2">
        <f t="shared" si="71"/>
        <v>3009.8</v>
      </c>
    </row>
    <row r="470" spans="1:10" x14ac:dyDescent="0.45">
      <c r="A470" s="2" t="s">
        <v>443</v>
      </c>
      <c r="B470" s="2" t="str">
        <f t="shared" si="63"/>
        <v>Male</v>
      </c>
      <c r="C470" s="2" t="str">
        <f t="shared" si="64"/>
        <v>United States</v>
      </c>
      <c r="D470" s="2" t="str">
        <f t="shared" si="65"/>
        <v>English</v>
      </c>
      <c r="E470" s="2" t="str">
        <f t="shared" si="66"/>
        <v>Pop</v>
      </c>
      <c r="F470" s="2" t="str">
        <f t="shared" si="67"/>
        <v>Group</v>
      </c>
      <c r="G470" s="2">
        <f t="shared" si="68"/>
        <v>2010</v>
      </c>
      <c r="H470" s="2">
        <f t="shared" si="69"/>
        <v>8779.9</v>
      </c>
      <c r="I470" s="2">
        <f t="shared" si="70"/>
        <v>7850.9</v>
      </c>
      <c r="J470" s="2">
        <f t="shared" si="71"/>
        <v>932.8</v>
      </c>
    </row>
    <row r="471" spans="1:10" x14ac:dyDescent="0.45">
      <c r="A471" s="2" t="s">
        <v>124</v>
      </c>
      <c r="B471" s="2" t="str">
        <f t="shared" si="63"/>
        <v>Male</v>
      </c>
      <c r="C471" s="2" t="str">
        <f t="shared" si="64"/>
        <v>United States</v>
      </c>
      <c r="D471" s="2" t="str">
        <f t="shared" si="65"/>
        <v>English</v>
      </c>
      <c r="E471" s="2" t="str">
        <f t="shared" si="66"/>
        <v>Alternative</v>
      </c>
      <c r="F471" s="2" t="str">
        <f t="shared" si="67"/>
        <v>Group</v>
      </c>
      <c r="G471" s="2">
        <f t="shared" si="68"/>
        <v>2009</v>
      </c>
      <c r="H471" s="2">
        <f t="shared" si="69"/>
        <v>22475.8</v>
      </c>
      <c r="I471" s="2">
        <f t="shared" si="70"/>
        <v>22215.200000000001</v>
      </c>
      <c r="J471" s="2">
        <f t="shared" si="71"/>
        <v>269.10000000000002</v>
      </c>
    </row>
    <row r="472" spans="1:10" x14ac:dyDescent="0.45">
      <c r="A472" s="2" t="s">
        <v>289</v>
      </c>
      <c r="B472" s="2" t="str">
        <f t="shared" si="63"/>
        <v>Female</v>
      </c>
      <c r="C472" s="2" t="str">
        <f t="shared" si="64"/>
        <v>South Korea</v>
      </c>
      <c r="D472" s="2" t="str">
        <f t="shared" si="65"/>
        <v>Korean</v>
      </c>
      <c r="E472" s="2" t="str">
        <f t="shared" si="66"/>
        <v>K-Pop</v>
      </c>
      <c r="F472" s="2" t="str">
        <f t="shared" si="67"/>
        <v>Group</v>
      </c>
      <c r="G472" s="2">
        <f t="shared" si="68"/>
        <v>2015</v>
      </c>
      <c r="H472" s="2">
        <f t="shared" si="69"/>
        <v>12716.2</v>
      </c>
      <c r="I472" s="2">
        <f t="shared" si="70"/>
        <v>2648.7</v>
      </c>
      <c r="J472" s="2">
        <f t="shared" si="71"/>
        <v>10073.4</v>
      </c>
    </row>
    <row r="473" spans="1:10" x14ac:dyDescent="0.45">
      <c r="A473" s="2" t="s">
        <v>104</v>
      </c>
      <c r="B473" s="2" t="str">
        <f t="shared" si="63"/>
        <v>Male</v>
      </c>
      <c r="C473" s="2" t="str">
        <f t="shared" si="64"/>
        <v>United States</v>
      </c>
      <c r="D473" s="2" t="str">
        <f t="shared" si="65"/>
        <v>English</v>
      </c>
      <c r="E473" s="2" t="str">
        <f t="shared" si="66"/>
        <v>R&amp;B</v>
      </c>
      <c r="F473" s="2" t="str">
        <f t="shared" si="67"/>
        <v>Solo</v>
      </c>
      <c r="G473" s="2">
        <f t="shared" si="68"/>
        <v>2011</v>
      </c>
      <c r="H473" s="2">
        <f t="shared" si="69"/>
        <v>26465.200000000001</v>
      </c>
      <c r="I473" s="2">
        <f t="shared" si="70"/>
        <v>5073.8</v>
      </c>
      <c r="J473" s="2">
        <f t="shared" si="71"/>
        <v>21394.799999999999</v>
      </c>
    </row>
    <row r="474" spans="1:10" x14ac:dyDescent="0.45">
      <c r="A474" s="2" t="s">
        <v>172</v>
      </c>
      <c r="B474" s="2" t="str">
        <f t="shared" si="63"/>
        <v>Male</v>
      </c>
      <c r="C474" s="2" t="str">
        <f t="shared" si="64"/>
        <v>United States</v>
      </c>
      <c r="D474" s="2" t="str">
        <f t="shared" si="65"/>
        <v>English</v>
      </c>
      <c r="E474" s="2" t="str">
        <f t="shared" si="66"/>
        <v>Hip-Hop</v>
      </c>
      <c r="F474" s="2" t="str">
        <f t="shared" si="67"/>
        <v>Solo</v>
      </c>
      <c r="G474" s="2">
        <f t="shared" si="68"/>
        <v>2008</v>
      </c>
      <c r="H474" s="2">
        <f t="shared" si="69"/>
        <v>18064.3</v>
      </c>
      <c r="I474" s="2">
        <f t="shared" si="70"/>
        <v>7403</v>
      </c>
      <c r="J474" s="2">
        <f t="shared" si="71"/>
        <v>10664.8</v>
      </c>
    </row>
    <row r="475" spans="1:10" x14ac:dyDescent="0.45">
      <c r="A475" s="2" t="s">
        <v>102</v>
      </c>
      <c r="B475" s="2" t="str">
        <f t="shared" si="63"/>
        <v>Male</v>
      </c>
      <c r="C475" s="2" t="str">
        <f t="shared" si="64"/>
        <v>United States</v>
      </c>
      <c r="D475" s="2" t="str">
        <f t="shared" si="65"/>
        <v>English</v>
      </c>
      <c r="E475" s="2" t="str">
        <f t="shared" si="66"/>
        <v>Hip-Hop</v>
      </c>
      <c r="F475" s="2" t="str">
        <f t="shared" si="67"/>
        <v>Solo</v>
      </c>
      <c r="G475" s="2">
        <f t="shared" si="68"/>
        <v>2009</v>
      </c>
      <c r="H475" s="2">
        <f t="shared" si="69"/>
        <v>27125.8</v>
      </c>
      <c r="I475" s="2">
        <f t="shared" si="70"/>
        <v>23925.9</v>
      </c>
      <c r="J475" s="2">
        <f t="shared" si="71"/>
        <v>3208.7</v>
      </c>
    </row>
    <row r="476" spans="1:10" x14ac:dyDescent="0.45">
      <c r="A476" s="2" t="s">
        <v>359</v>
      </c>
      <c r="B476" s="2" t="str">
        <f t="shared" si="63"/>
        <v>Male</v>
      </c>
      <c r="C476" s="2" t="str">
        <f t="shared" si="64"/>
        <v>Ireland</v>
      </c>
      <c r="D476" s="2" t="str">
        <f t="shared" si="65"/>
        <v>English</v>
      </c>
      <c r="E476" s="2" t="str">
        <f t="shared" si="66"/>
        <v>Rock</v>
      </c>
      <c r="F476" s="2" t="str">
        <f t="shared" si="67"/>
        <v>Group</v>
      </c>
      <c r="G476" s="2">
        <f t="shared" si="68"/>
        <v>1979</v>
      </c>
      <c r="H476" s="2">
        <f t="shared" si="69"/>
        <v>10616.1</v>
      </c>
      <c r="I476" s="2">
        <f t="shared" si="70"/>
        <v>10020.5</v>
      </c>
      <c r="J476" s="2">
        <f t="shared" si="71"/>
        <v>599.29999999999995</v>
      </c>
    </row>
    <row r="477" spans="1:10" x14ac:dyDescent="0.45">
      <c r="A477" s="2" t="s">
        <v>487</v>
      </c>
      <c r="B477" s="2" t="str">
        <f t="shared" si="63"/>
        <v>Male</v>
      </c>
      <c r="C477" s="2" t="str">
        <f t="shared" si="64"/>
        <v>Nepal</v>
      </c>
      <c r="D477" s="2" t="str">
        <f t="shared" si="65"/>
        <v>Hindi</v>
      </c>
      <c r="E477" s="2" t="str">
        <f t="shared" si="66"/>
        <v>Filmi</v>
      </c>
      <c r="F477" s="2" t="str">
        <f t="shared" si="67"/>
        <v>Solo</v>
      </c>
      <c r="G477" s="2">
        <f t="shared" si="68"/>
        <v>1980</v>
      </c>
      <c r="H477" s="2">
        <f t="shared" si="69"/>
        <v>8186.9</v>
      </c>
      <c r="I477" s="2">
        <f t="shared" si="70"/>
        <v>3408.5</v>
      </c>
      <c r="J477" s="2">
        <f t="shared" si="71"/>
        <v>4789.5</v>
      </c>
    </row>
    <row r="478" spans="1:10" x14ac:dyDescent="0.45">
      <c r="A478" s="2" t="s">
        <v>164</v>
      </c>
      <c r="B478" s="2" t="str">
        <f t="shared" si="63"/>
        <v>Male</v>
      </c>
      <c r="C478" s="2" t="str">
        <f t="shared" si="64"/>
        <v>United States</v>
      </c>
      <c r="D478" s="2" t="str">
        <f t="shared" si="65"/>
        <v>English</v>
      </c>
      <c r="E478" s="2" t="str">
        <f t="shared" si="66"/>
        <v>R&amp;B</v>
      </c>
      <c r="F478" s="2" t="str">
        <f t="shared" si="67"/>
        <v>Solo</v>
      </c>
      <c r="G478" s="2">
        <f t="shared" si="68"/>
        <v>1994</v>
      </c>
      <c r="H478" s="2">
        <f t="shared" si="69"/>
        <v>18413.2</v>
      </c>
      <c r="I478" s="2">
        <f t="shared" si="70"/>
        <v>12525.4</v>
      </c>
      <c r="J478" s="2">
        <f t="shared" si="71"/>
        <v>5896.3</v>
      </c>
    </row>
    <row r="479" spans="1:10" x14ac:dyDescent="0.45">
      <c r="A479" s="2" t="s">
        <v>491</v>
      </c>
      <c r="B479" s="2" t="str">
        <f t="shared" si="63"/>
        <v>Male</v>
      </c>
      <c r="C479" s="2" t="str">
        <f t="shared" si="64"/>
        <v>Australia</v>
      </c>
      <c r="D479" s="2" t="str">
        <f t="shared" si="65"/>
        <v>English</v>
      </c>
      <c r="E479" s="2" t="str">
        <f t="shared" si="66"/>
        <v>Folk</v>
      </c>
      <c r="F479" s="2" t="str">
        <f t="shared" si="67"/>
        <v>Solo</v>
      </c>
      <c r="G479" s="2">
        <f t="shared" si="68"/>
        <v>2013</v>
      </c>
      <c r="H479" s="2">
        <f t="shared" si="69"/>
        <v>8092.2</v>
      </c>
      <c r="I479" s="2">
        <f t="shared" si="70"/>
        <v>7918.7</v>
      </c>
      <c r="J479" s="2">
        <f t="shared" si="71"/>
        <v>176.9</v>
      </c>
    </row>
    <row r="480" spans="1:10" x14ac:dyDescent="0.45">
      <c r="A480" s="2" t="s">
        <v>483</v>
      </c>
      <c r="B480" s="2" t="str">
        <f t="shared" si="63"/>
        <v>Male</v>
      </c>
      <c r="C480" s="2" t="str">
        <f t="shared" si="64"/>
        <v>Mexico</v>
      </c>
      <c r="D480" s="2" t="str">
        <f t="shared" si="65"/>
        <v>Spanish</v>
      </c>
      <c r="E480" s="2" t="str">
        <f t="shared" si="66"/>
        <v>Regional Mexican</v>
      </c>
      <c r="F480" s="2" t="str">
        <f t="shared" si="67"/>
        <v>Solo</v>
      </c>
      <c r="G480" s="2">
        <f t="shared" si="68"/>
        <v>1966</v>
      </c>
      <c r="H480" s="2">
        <f t="shared" si="69"/>
        <v>8205.4</v>
      </c>
      <c r="I480" s="2">
        <f t="shared" si="70"/>
        <v>8009</v>
      </c>
      <c r="J480" s="2">
        <f t="shared" si="71"/>
        <v>204.5</v>
      </c>
    </row>
    <row r="481" spans="1:10" x14ac:dyDescent="0.45">
      <c r="A481" s="2" t="s">
        <v>377</v>
      </c>
      <c r="B481" s="2" t="str">
        <f t="shared" si="63"/>
        <v>Male</v>
      </c>
      <c r="C481" s="2" t="str">
        <f t="shared" si="64"/>
        <v>India</v>
      </c>
      <c r="D481" s="2" t="str">
        <f t="shared" si="65"/>
        <v>Hindi</v>
      </c>
      <c r="E481" s="2" t="str">
        <f t="shared" si="66"/>
        <v>Filmi</v>
      </c>
      <c r="F481" s="2" t="str">
        <f t="shared" si="67"/>
        <v>Group</v>
      </c>
      <c r="G481" s="2">
        <f t="shared" si="68"/>
        <v>1999</v>
      </c>
      <c r="H481" s="2">
        <f t="shared" si="69"/>
        <v>10165</v>
      </c>
      <c r="I481" s="2">
        <f t="shared" si="70"/>
        <v>8858.9</v>
      </c>
      <c r="J481" s="2">
        <f t="shared" si="71"/>
        <v>1312.6</v>
      </c>
    </row>
    <row r="482" spans="1:10" x14ac:dyDescent="0.45">
      <c r="A482" s="2" t="s">
        <v>529</v>
      </c>
      <c r="B482" s="2" t="str">
        <f t="shared" si="63"/>
        <v>Male</v>
      </c>
      <c r="C482" s="2" t="str">
        <f t="shared" si="64"/>
        <v>Brazil</v>
      </c>
      <c r="D482" s="2" t="str">
        <f t="shared" si="65"/>
        <v>Portuguese</v>
      </c>
      <c r="E482" s="2" t="str">
        <f t="shared" si="66"/>
        <v>Latin</v>
      </c>
      <c r="F482" s="2" t="str">
        <f t="shared" si="67"/>
        <v>Solo</v>
      </c>
      <c r="G482" s="2">
        <f t="shared" si="68"/>
        <v>2003</v>
      </c>
      <c r="H482" s="2">
        <f t="shared" si="69"/>
        <v>7618.8</v>
      </c>
      <c r="I482" s="2">
        <f t="shared" si="70"/>
        <v>5257.8</v>
      </c>
      <c r="J482" s="2">
        <f t="shared" si="71"/>
        <v>2361</v>
      </c>
    </row>
    <row r="483" spans="1:10" x14ac:dyDescent="0.45">
      <c r="A483" s="2" t="s">
        <v>438</v>
      </c>
      <c r="B483" s="2" t="str">
        <f t="shared" si="63"/>
        <v>Female</v>
      </c>
      <c r="C483" s="2" t="str">
        <f t="shared" si="64"/>
        <v>United States</v>
      </c>
      <c r="D483" s="2" t="str">
        <f t="shared" si="65"/>
        <v>English</v>
      </c>
      <c r="E483" s="2" t="str">
        <f t="shared" si="66"/>
        <v>R&amp;B</v>
      </c>
      <c r="F483" s="2" t="str">
        <f t="shared" si="67"/>
        <v>Solo</v>
      </c>
      <c r="G483" s="2">
        <f t="shared" si="68"/>
        <v>1985</v>
      </c>
      <c r="H483" s="2">
        <f t="shared" si="69"/>
        <v>8828.7999999999993</v>
      </c>
      <c r="I483" s="2">
        <f t="shared" si="70"/>
        <v>7564.4</v>
      </c>
      <c r="J483" s="2">
        <f t="shared" si="71"/>
        <v>1267.8</v>
      </c>
    </row>
    <row r="484" spans="1:10" x14ac:dyDescent="0.45">
      <c r="A484" s="2" t="s">
        <v>272</v>
      </c>
      <c r="B484" s="2" t="str">
        <f t="shared" si="63"/>
        <v>Male</v>
      </c>
      <c r="C484" s="2" t="str">
        <f t="shared" si="64"/>
        <v>United States</v>
      </c>
      <c r="D484" s="2" t="str">
        <f t="shared" si="65"/>
        <v>Spanish</v>
      </c>
      <c r="E484" s="2" t="str">
        <f t="shared" si="66"/>
        <v>Reggaeton</v>
      </c>
      <c r="F484" s="2" t="str">
        <f t="shared" si="67"/>
        <v>Solo</v>
      </c>
      <c r="G484" s="2">
        <f t="shared" si="68"/>
        <v>2000</v>
      </c>
      <c r="H484" s="2">
        <f t="shared" si="69"/>
        <v>13273.4</v>
      </c>
      <c r="I484" s="2">
        <f t="shared" si="70"/>
        <v>4702.2</v>
      </c>
      <c r="J484" s="2">
        <f t="shared" si="71"/>
        <v>8580.5</v>
      </c>
    </row>
    <row r="485" spans="1:10" x14ac:dyDescent="0.45">
      <c r="A485" s="2" t="s">
        <v>267</v>
      </c>
      <c r="B485" s="2" t="str">
        <f t="shared" si="63"/>
        <v>Male</v>
      </c>
      <c r="C485" s="2" t="str">
        <f t="shared" si="64"/>
        <v>United States</v>
      </c>
      <c r="D485" s="2" t="str">
        <f t="shared" si="65"/>
        <v>Spanish</v>
      </c>
      <c r="E485" s="2" t="str">
        <f t="shared" si="66"/>
        <v>Reggaeton</v>
      </c>
      <c r="F485" s="2" t="str">
        <f t="shared" si="67"/>
        <v>Group</v>
      </c>
      <c r="G485" s="2">
        <f t="shared" si="68"/>
        <v>1998</v>
      </c>
      <c r="H485" s="2">
        <f t="shared" si="69"/>
        <v>13323.2</v>
      </c>
      <c r="I485" s="2">
        <f t="shared" si="70"/>
        <v>8971.1</v>
      </c>
      <c r="J485" s="2">
        <f t="shared" si="71"/>
        <v>4360.5</v>
      </c>
    </row>
    <row r="486" spans="1:10" x14ac:dyDescent="0.45">
      <c r="A486" s="2" t="s">
        <v>110</v>
      </c>
      <c r="B486" s="2" t="str">
        <f t="shared" si="63"/>
        <v>Male</v>
      </c>
      <c r="C486" s="2" t="str">
        <f t="shared" si="64"/>
        <v>United States</v>
      </c>
      <c r="D486" s="2" t="str">
        <f t="shared" si="65"/>
        <v>English</v>
      </c>
      <c r="E486" s="2" t="str">
        <f t="shared" si="66"/>
        <v>Hip-Hop</v>
      </c>
      <c r="F486" s="2" t="str">
        <f t="shared" si="67"/>
        <v>Solo</v>
      </c>
      <c r="G486" s="2">
        <f t="shared" si="68"/>
        <v>2006</v>
      </c>
      <c r="H486" s="2">
        <f t="shared" si="69"/>
        <v>25289.9</v>
      </c>
      <c r="I486" s="2">
        <f t="shared" si="70"/>
        <v>11748.9</v>
      </c>
      <c r="J486" s="2">
        <f t="shared" si="71"/>
        <v>13549.3</v>
      </c>
    </row>
    <row r="487" spans="1:10" x14ac:dyDescent="0.45">
      <c r="A487" s="2" t="s">
        <v>334</v>
      </c>
      <c r="B487" s="2" t="str">
        <f t="shared" si="63"/>
        <v>Male</v>
      </c>
      <c r="C487" s="2" t="str">
        <f t="shared" si="64"/>
        <v>Nigeria</v>
      </c>
      <c r="D487" s="2" t="str">
        <f t="shared" si="65"/>
        <v>English</v>
      </c>
      <c r="E487" s="2" t="str">
        <f t="shared" si="66"/>
        <v>Afrobeats</v>
      </c>
      <c r="F487" s="2" t="str">
        <f t="shared" si="67"/>
        <v>Solo</v>
      </c>
      <c r="G487" s="2">
        <f t="shared" si="68"/>
        <v>2011</v>
      </c>
      <c r="H487" s="2">
        <f t="shared" si="69"/>
        <v>11149</v>
      </c>
      <c r="I487" s="2">
        <f t="shared" si="70"/>
        <v>3260</v>
      </c>
      <c r="J487" s="2">
        <f t="shared" si="71"/>
        <v>7882.2</v>
      </c>
    </row>
    <row r="488" spans="1:10" x14ac:dyDescent="0.45">
      <c r="A488" s="2" t="s">
        <v>52</v>
      </c>
      <c r="B488" s="2" t="str">
        <f t="shared" si="63"/>
        <v>Male</v>
      </c>
      <c r="C488" s="2" t="str">
        <f t="shared" si="64"/>
        <v>United States</v>
      </c>
      <c r="D488" s="2" t="str">
        <f t="shared" si="65"/>
        <v>English</v>
      </c>
      <c r="E488" s="2" t="str">
        <f t="shared" si="66"/>
        <v>Hip-Hop</v>
      </c>
      <c r="F488" s="2" t="str">
        <f t="shared" si="67"/>
        <v>Solo</v>
      </c>
      <c r="G488" s="2">
        <f t="shared" si="68"/>
        <v>2013</v>
      </c>
      <c r="H488" s="2">
        <f t="shared" si="69"/>
        <v>40411.300000000003</v>
      </c>
      <c r="I488" s="2">
        <f t="shared" si="70"/>
        <v>34419.9</v>
      </c>
      <c r="J488" s="2">
        <f t="shared" si="71"/>
        <v>5998.9</v>
      </c>
    </row>
    <row r="489" spans="1:10" x14ac:dyDescent="0.45">
      <c r="A489" s="2" t="s">
        <v>282</v>
      </c>
      <c r="B489" s="2" t="str">
        <f t="shared" si="63"/>
        <v>Male</v>
      </c>
      <c r="C489" s="2" t="str">
        <f t="shared" si="64"/>
        <v>United States</v>
      </c>
      <c r="D489" s="2" t="str">
        <f t="shared" si="65"/>
        <v>Spanish</v>
      </c>
      <c r="E489" s="2" t="str">
        <f t="shared" si="66"/>
        <v>Reggaeton</v>
      </c>
      <c r="F489" s="2" t="str">
        <f t="shared" si="67"/>
        <v>Solo</v>
      </c>
      <c r="G489" s="2">
        <f t="shared" si="68"/>
        <v>2003</v>
      </c>
      <c r="H489" s="2">
        <f t="shared" si="69"/>
        <v>12929.7</v>
      </c>
      <c r="I489" s="2">
        <f t="shared" si="70"/>
        <v>5938.5</v>
      </c>
      <c r="J489" s="2">
        <f t="shared" si="71"/>
        <v>6997.8</v>
      </c>
    </row>
    <row r="490" spans="1:10" x14ac:dyDescent="0.45">
      <c r="A490" s="2" t="s">
        <v>380</v>
      </c>
      <c r="B490" s="2" t="str">
        <f t="shared" si="63"/>
        <v>Male</v>
      </c>
      <c r="C490" s="2" t="str">
        <f t="shared" si="64"/>
        <v>United States</v>
      </c>
      <c r="D490" s="2" t="str">
        <f t="shared" si="65"/>
        <v>English</v>
      </c>
      <c r="E490" s="2" t="str">
        <f t="shared" si="66"/>
        <v>Hip-Hop</v>
      </c>
      <c r="F490" s="2" t="str">
        <f t="shared" si="67"/>
        <v>Solo</v>
      </c>
      <c r="G490" s="2">
        <f t="shared" si="68"/>
        <v>2015</v>
      </c>
      <c r="H490" s="2">
        <f t="shared" si="69"/>
        <v>10141.700000000001</v>
      </c>
      <c r="I490" s="2">
        <f t="shared" si="70"/>
        <v>9084.2000000000007</v>
      </c>
      <c r="J490" s="2">
        <f t="shared" si="71"/>
        <v>1067.9000000000001</v>
      </c>
    </row>
    <row r="491" spans="1:10" x14ac:dyDescent="0.45">
      <c r="A491" s="2" t="s">
        <v>412</v>
      </c>
      <c r="B491" s="2" t="str">
        <f t="shared" si="63"/>
        <v>Male</v>
      </c>
      <c r="C491" s="2" t="str">
        <f t="shared" si="64"/>
        <v>United States</v>
      </c>
      <c r="D491" s="2" t="str">
        <f t="shared" si="65"/>
        <v>English</v>
      </c>
      <c r="E491" s="2" t="str">
        <f t="shared" si="66"/>
        <v>Hip-Hop</v>
      </c>
      <c r="F491" s="2" t="str">
        <f t="shared" si="67"/>
        <v>Solo</v>
      </c>
      <c r="G491" s="2">
        <f t="shared" si="68"/>
        <v>2008</v>
      </c>
      <c r="H491" s="2">
        <f t="shared" si="69"/>
        <v>9362.2999999999993</v>
      </c>
      <c r="I491" s="2">
        <f t="shared" si="70"/>
        <v>4260.1000000000004</v>
      </c>
      <c r="J491" s="2">
        <f t="shared" si="71"/>
        <v>5102.2</v>
      </c>
    </row>
    <row r="492" spans="1:10" x14ac:dyDescent="0.45">
      <c r="A492" s="2" t="s">
        <v>572</v>
      </c>
      <c r="B492" s="2" t="str">
        <f t="shared" si="63"/>
        <v>Male</v>
      </c>
      <c r="C492" s="2" t="str">
        <f t="shared" si="64"/>
        <v>United States</v>
      </c>
      <c r="D492" s="2" t="str">
        <f t="shared" si="65"/>
        <v>English</v>
      </c>
      <c r="E492" s="2" t="str">
        <f t="shared" si="66"/>
        <v>Hip-Hop</v>
      </c>
      <c r="F492" s="2" t="str">
        <f t="shared" si="67"/>
        <v>Solo</v>
      </c>
      <c r="G492" s="2">
        <f t="shared" si="68"/>
        <v>2017</v>
      </c>
      <c r="H492" s="2">
        <f t="shared" si="69"/>
        <v>7061.3</v>
      </c>
      <c r="I492" s="2">
        <f t="shared" si="70"/>
        <v>7067.3</v>
      </c>
      <c r="J492" s="2">
        <f t="shared" si="71"/>
        <v>0</v>
      </c>
    </row>
    <row r="493" spans="1:10" x14ac:dyDescent="0.45">
      <c r="A493" s="2" t="s">
        <v>86</v>
      </c>
      <c r="B493" s="2" t="str">
        <f t="shared" si="63"/>
        <v>Male</v>
      </c>
      <c r="C493" s="2" t="str">
        <f t="shared" si="64"/>
        <v>United States</v>
      </c>
      <c r="D493" s="2" t="str">
        <f t="shared" si="65"/>
        <v>English</v>
      </c>
      <c r="E493" s="2" t="str">
        <f t="shared" si="66"/>
        <v>Hip-Hop</v>
      </c>
      <c r="F493" s="2" t="str">
        <f t="shared" si="67"/>
        <v>Solo</v>
      </c>
      <c r="G493" s="2">
        <f t="shared" si="68"/>
        <v>2011</v>
      </c>
      <c r="H493" s="2">
        <f t="shared" si="69"/>
        <v>30933.8</v>
      </c>
      <c r="I493" s="2">
        <f t="shared" si="70"/>
        <v>10464.200000000001</v>
      </c>
      <c r="J493" s="2">
        <f t="shared" si="71"/>
        <v>20472.3</v>
      </c>
    </row>
    <row r="494" spans="1:10" x14ac:dyDescent="0.45">
      <c r="A494" s="2" t="s">
        <v>141</v>
      </c>
      <c r="B494" s="2" t="str">
        <f t="shared" si="63"/>
        <v>Male</v>
      </c>
      <c r="C494" s="2" t="str">
        <f t="shared" si="64"/>
        <v>United States</v>
      </c>
      <c r="D494" s="2" t="str">
        <f t="shared" si="65"/>
        <v>English</v>
      </c>
      <c r="E494" s="2" t="str">
        <f t="shared" si="66"/>
        <v>Hip-Hop</v>
      </c>
      <c r="F494" s="2" t="str">
        <f t="shared" si="67"/>
        <v>Solo</v>
      </c>
      <c r="G494" s="2">
        <f t="shared" si="68"/>
        <v>2015</v>
      </c>
      <c r="H494" s="2">
        <f t="shared" si="69"/>
        <v>20138.099999999999</v>
      </c>
      <c r="I494" s="2">
        <f t="shared" si="70"/>
        <v>15305.8</v>
      </c>
      <c r="J494" s="2">
        <f t="shared" si="71"/>
        <v>4841.7</v>
      </c>
    </row>
    <row r="495" spans="1:10" x14ac:dyDescent="0.45">
      <c r="A495" s="2" t="s">
        <v>145</v>
      </c>
      <c r="B495" s="2" t="str">
        <f t="shared" si="63"/>
        <v>Male</v>
      </c>
      <c r="C495" s="2" t="str">
        <f t="shared" si="64"/>
        <v>United States</v>
      </c>
      <c r="D495" s="2" t="str">
        <f t="shared" si="65"/>
        <v>English</v>
      </c>
      <c r="E495" s="2" t="str">
        <f t="shared" si="66"/>
        <v>Country</v>
      </c>
      <c r="F495" s="2" t="str">
        <f t="shared" si="67"/>
        <v>Solo</v>
      </c>
      <c r="G495" s="2">
        <f t="shared" si="68"/>
        <v>2019</v>
      </c>
      <c r="H495" s="2">
        <f t="shared" si="69"/>
        <v>19727.2</v>
      </c>
      <c r="I495" s="2">
        <f t="shared" si="70"/>
        <v>19690.8</v>
      </c>
      <c r="J495" s="2">
        <f t="shared" si="71"/>
        <v>47.3</v>
      </c>
    </row>
    <row r="496" spans="1:10" x14ac:dyDescent="0.45">
      <c r="A496" s="2" t="s">
        <v>241</v>
      </c>
      <c r="B496" s="2" t="str">
        <f t="shared" si="63"/>
        <v>Female</v>
      </c>
      <c r="C496" s="2" t="str">
        <f t="shared" si="64"/>
        <v>Sweden</v>
      </c>
      <c r="D496" s="2" t="str">
        <f t="shared" si="65"/>
        <v>English</v>
      </c>
      <c r="E496" s="2" t="str">
        <f t="shared" si="66"/>
        <v>Pop</v>
      </c>
      <c r="F496" s="2" t="str">
        <f t="shared" si="67"/>
        <v>Solo</v>
      </c>
      <c r="G496" s="2">
        <f t="shared" si="68"/>
        <v>2008</v>
      </c>
      <c r="H496" s="2">
        <f t="shared" si="69"/>
        <v>14221.3</v>
      </c>
      <c r="I496" s="2">
        <f t="shared" si="70"/>
        <v>9372.1</v>
      </c>
      <c r="J496" s="2">
        <f t="shared" si="71"/>
        <v>4858.7</v>
      </c>
    </row>
    <row r="497" spans="1:10" x14ac:dyDescent="0.45">
      <c r="A497" s="2" t="s">
        <v>292</v>
      </c>
      <c r="B497" s="2" t="str">
        <f t="shared" si="63"/>
        <v>Male</v>
      </c>
      <c r="C497" s="2" t="str">
        <f t="shared" si="64"/>
        <v>United Kingdom</v>
      </c>
      <c r="D497" s="2" t="str">
        <f t="shared" si="65"/>
        <v>English</v>
      </c>
      <c r="E497" s="2" t="str">
        <f t="shared" si="66"/>
        <v>Pop</v>
      </c>
      <c r="F497" s="2" t="str">
        <f t="shared" si="67"/>
        <v>Solo</v>
      </c>
      <c r="G497" s="2">
        <f t="shared" si="68"/>
        <v>2010</v>
      </c>
      <c r="H497" s="2">
        <f t="shared" si="69"/>
        <v>12650.8</v>
      </c>
      <c r="I497" s="2">
        <f t="shared" si="70"/>
        <v>11398.2</v>
      </c>
      <c r="J497" s="2">
        <f t="shared" si="71"/>
        <v>1255.5</v>
      </c>
    </row>
    <row r="498" spans="1:10" x14ac:dyDescent="0.45">
      <c r="A498" s="2" t="s">
        <v>346</v>
      </c>
      <c r="B498" s="2" t="str">
        <f t="shared" si="63"/>
        <v>Male</v>
      </c>
      <c r="C498" s="2" t="str">
        <f t="shared" si="64"/>
        <v>Brazil</v>
      </c>
      <c r="D498" s="2" t="str">
        <f t="shared" si="65"/>
        <v>Portuguese</v>
      </c>
      <c r="E498" s="2" t="str">
        <f t="shared" si="66"/>
        <v>Sertanjeo</v>
      </c>
      <c r="F498" s="2" t="str">
        <f t="shared" si="67"/>
        <v>Group</v>
      </c>
      <c r="G498" s="2">
        <f t="shared" si="68"/>
        <v>2011</v>
      </c>
      <c r="H498" s="2">
        <f t="shared" si="69"/>
        <v>10914.2</v>
      </c>
      <c r="I498" s="2">
        <f t="shared" si="70"/>
        <v>9203.4</v>
      </c>
      <c r="J498" s="2">
        <f t="shared" si="71"/>
        <v>1721.9</v>
      </c>
    </row>
    <row r="499" spans="1:10" x14ac:dyDescent="0.45">
      <c r="A499" s="2" t="s">
        <v>323</v>
      </c>
      <c r="B499" s="2" t="str">
        <f t="shared" si="63"/>
        <v>Male</v>
      </c>
      <c r="C499" s="2" t="str">
        <f t="shared" si="64"/>
        <v>Russia</v>
      </c>
      <c r="D499" s="2" t="str">
        <f t="shared" si="65"/>
        <v>English</v>
      </c>
      <c r="E499" s="2" t="str">
        <f t="shared" si="66"/>
        <v>EDM</v>
      </c>
      <c r="F499" s="2" t="str">
        <f t="shared" si="67"/>
        <v>Solo</v>
      </c>
      <c r="G499" s="2">
        <f t="shared" si="68"/>
        <v>2010</v>
      </c>
      <c r="H499" s="2">
        <f t="shared" si="69"/>
        <v>11481.4</v>
      </c>
      <c r="I499" s="2">
        <f t="shared" si="70"/>
        <v>11486.5</v>
      </c>
      <c r="J499" s="2">
        <f t="shared" si="71"/>
        <v>0</v>
      </c>
    </row>
    <row r="500" spans="1:10" x14ac:dyDescent="0.45">
      <c r="A500" s="2" t="s">
        <v>526</v>
      </c>
      <c r="B500" s="2" t="str">
        <f t="shared" si="63"/>
        <v>Male</v>
      </c>
      <c r="C500" s="2" t="str">
        <f t="shared" si="64"/>
        <v>United States</v>
      </c>
      <c r="D500" s="2" t="str">
        <f t="shared" si="65"/>
        <v>Spanish</v>
      </c>
      <c r="E500" s="2" t="str">
        <f t="shared" si="66"/>
        <v>Reggaeton</v>
      </c>
      <c r="F500" s="2" t="str">
        <f t="shared" si="67"/>
        <v>Solo</v>
      </c>
      <c r="G500" s="2">
        <f t="shared" si="68"/>
        <v>2004</v>
      </c>
      <c r="H500" s="2">
        <f t="shared" si="69"/>
        <v>7661.6</v>
      </c>
      <c r="I500" s="2">
        <f t="shared" si="70"/>
        <v>1713.9</v>
      </c>
      <c r="J500" s="2">
        <f t="shared" si="71"/>
        <v>5947.7</v>
      </c>
    </row>
    <row r="501" spans="1:10" x14ac:dyDescent="0.45">
      <c r="A501" s="2" t="s">
        <v>286</v>
      </c>
      <c r="B501" s="2" t="str">
        <f t="shared" si="63"/>
        <v>Male</v>
      </c>
      <c r="C501" s="2" t="str">
        <f t="shared" si="64"/>
        <v>United States</v>
      </c>
      <c r="D501" s="2" t="str">
        <f t="shared" si="65"/>
        <v>Spanish</v>
      </c>
      <c r="E501" s="2" t="str">
        <f t="shared" si="66"/>
        <v>Reggaeton</v>
      </c>
      <c r="F501" s="2" t="str">
        <f t="shared" si="67"/>
        <v>Group</v>
      </c>
      <c r="G501" s="2">
        <f t="shared" si="68"/>
        <v>2000</v>
      </c>
      <c r="H501" s="2">
        <f t="shared" si="69"/>
        <v>12799.8</v>
      </c>
      <c r="I501" s="2">
        <f t="shared" si="70"/>
        <v>5018.3999999999996</v>
      </c>
      <c r="J501" s="2">
        <f t="shared" si="71"/>
        <v>7786.4</v>
      </c>
    </row>
    <row r="502" spans="1:10" x14ac:dyDescent="0.45">
      <c r="B502" s="2"/>
      <c r="C502" s="2"/>
      <c r="D502" s="2"/>
      <c r="E502" s="2"/>
      <c r="F502" s="2"/>
      <c r="G502" s="2"/>
      <c r="H502" s="2"/>
      <c r="I502" s="2"/>
      <c r="J502" s="2"/>
    </row>
  </sheetData>
  <conditionalFormatting sqref="I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{68C1ED2E-50E2-428A-88CF-710E7E9715AC}</x14:id>
        </ext>
      </extLst>
    </cfRule>
  </conditionalFormatting>
  <conditionalFormatting sqref="J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C1ED2E-50E2-428A-88CF-710E7E971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A36E-D2FE-46A4-A966-B2550FFA94DF}">
  <dimension ref="B4:AD70"/>
  <sheetViews>
    <sheetView tabSelected="1" topLeftCell="P1" workbookViewId="0">
      <selection activeCell="F15" sqref="F15"/>
    </sheetView>
  </sheetViews>
  <sheetFormatPr defaultRowHeight="14.25" x14ac:dyDescent="0.45"/>
  <cols>
    <col min="2" max="2" width="17" bestFit="1" customWidth="1"/>
    <col min="3" max="3" width="28.3984375" bestFit="1" customWidth="1"/>
    <col min="4" max="4" width="22.3984375" bestFit="1" customWidth="1"/>
    <col min="5" max="5" width="28.3984375" bestFit="1" customWidth="1"/>
    <col min="6" max="6" width="8.86328125" bestFit="1" customWidth="1"/>
    <col min="7" max="7" width="7.73046875" bestFit="1" customWidth="1"/>
    <col min="8" max="8" width="14.73046875" bestFit="1" customWidth="1"/>
    <col min="9" max="9" width="20" bestFit="1" customWidth="1"/>
    <col min="10" max="10" width="28.3984375" bestFit="1" customWidth="1"/>
    <col min="11" max="14" width="6.73046875" bestFit="1" customWidth="1"/>
    <col min="15" max="15" width="10.19921875" bestFit="1" customWidth="1"/>
    <col min="16" max="16" width="18.06640625" bestFit="1" customWidth="1"/>
    <col min="17" max="17" width="28.3984375" bestFit="1" customWidth="1"/>
    <col min="18" max="24" width="6.73046875" bestFit="1" customWidth="1"/>
    <col min="25" max="25" width="12" bestFit="1" customWidth="1"/>
    <col min="26" max="26" width="20" bestFit="1" customWidth="1"/>
    <col min="27" max="28" width="6.73046875" bestFit="1" customWidth="1"/>
    <col min="29" max="29" width="11.796875" bestFit="1" customWidth="1"/>
    <col min="30" max="30" width="20" bestFit="1" customWidth="1"/>
    <col min="31" max="89" width="6.73046875" bestFit="1" customWidth="1"/>
    <col min="90" max="90" width="4.73046875" bestFit="1" customWidth="1"/>
    <col min="91" max="94" width="6.73046875" bestFit="1" customWidth="1"/>
    <col min="95" max="95" width="4.73046875" bestFit="1" customWidth="1"/>
    <col min="96" max="99" width="6.73046875" bestFit="1" customWidth="1"/>
    <col min="100" max="100" width="4.73046875" bestFit="1" customWidth="1"/>
    <col min="101" max="131" width="6.73046875" bestFit="1" customWidth="1"/>
    <col min="132" max="132" width="4.73046875" bestFit="1" customWidth="1"/>
    <col min="133" max="137" width="6.73046875" bestFit="1" customWidth="1"/>
    <col min="138" max="138" width="4.73046875" bestFit="1" customWidth="1"/>
    <col min="139" max="142" width="6.73046875" bestFit="1" customWidth="1"/>
    <col min="143" max="143" width="4.73046875" bestFit="1" customWidth="1"/>
    <col min="144" max="145" width="6.73046875" bestFit="1" customWidth="1"/>
    <col min="146" max="146" width="4.73046875" bestFit="1" customWidth="1"/>
    <col min="147" max="162" width="6.73046875" bestFit="1" customWidth="1"/>
    <col min="163" max="163" width="4.73046875" bestFit="1" customWidth="1"/>
    <col min="164" max="167" width="6.73046875" bestFit="1" customWidth="1"/>
    <col min="168" max="168" width="4.73046875" bestFit="1" customWidth="1"/>
    <col min="169" max="169" width="6.73046875" bestFit="1" customWidth="1"/>
    <col min="170" max="170" width="4.73046875" bestFit="1" customWidth="1"/>
    <col min="171" max="171" width="6.73046875" bestFit="1" customWidth="1"/>
    <col min="172" max="173" width="4.73046875" bestFit="1" customWidth="1"/>
    <col min="174" max="174" width="6.73046875" bestFit="1" customWidth="1"/>
    <col min="175" max="175" width="4.73046875" bestFit="1" customWidth="1"/>
    <col min="176" max="186" width="6.73046875" bestFit="1" customWidth="1"/>
    <col min="187" max="188" width="7.73046875" bestFit="1" customWidth="1"/>
    <col min="189" max="189" width="5.73046875" bestFit="1" customWidth="1"/>
    <col min="190" max="194" width="7.73046875" bestFit="1" customWidth="1"/>
    <col min="195" max="195" width="5.73046875" bestFit="1" customWidth="1"/>
    <col min="196" max="200" width="7.73046875" bestFit="1" customWidth="1"/>
    <col min="201" max="201" width="5.73046875" bestFit="1" customWidth="1"/>
    <col min="202" max="205" width="7.73046875" bestFit="1" customWidth="1"/>
    <col min="206" max="206" width="5.73046875" bestFit="1" customWidth="1"/>
    <col min="207" max="209" width="7.73046875" bestFit="1" customWidth="1"/>
    <col min="210" max="210" width="5.73046875" bestFit="1" customWidth="1"/>
    <col min="211" max="219" width="7.73046875" bestFit="1" customWidth="1"/>
    <col min="220" max="220" width="5.73046875" bestFit="1" customWidth="1"/>
    <col min="221" max="227" width="7.73046875" bestFit="1" customWidth="1"/>
    <col min="228" max="228" width="5.73046875" bestFit="1" customWidth="1"/>
    <col min="229" max="233" width="7.73046875" bestFit="1" customWidth="1"/>
    <col min="234" max="235" width="5.73046875" bestFit="1" customWidth="1"/>
    <col min="236" max="251" width="7.73046875" bestFit="1" customWidth="1"/>
    <col min="252" max="252" width="5.73046875" bestFit="1" customWidth="1"/>
    <col min="253" max="268" width="7.73046875" bestFit="1" customWidth="1"/>
    <col min="269" max="269" width="5.73046875" bestFit="1" customWidth="1"/>
    <col min="270" max="275" width="7.73046875" bestFit="1" customWidth="1"/>
    <col min="276" max="276" width="5.73046875" bestFit="1" customWidth="1"/>
    <col min="277" max="292" width="7.73046875" bestFit="1" customWidth="1"/>
    <col min="293" max="294" width="5.73046875" bestFit="1" customWidth="1"/>
    <col min="295" max="302" width="7.73046875" bestFit="1" customWidth="1"/>
    <col min="303" max="303" width="5.73046875" bestFit="1" customWidth="1"/>
    <col min="304" max="305" width="7.73046875" bestFit="1" customWidth="1"/>
    <col min="306" max="307" width="5.73046875" bestFit="1" customWidth="1"/>
    <col min="308" max="311" width="7.73046875" bestFit="1" customWidth="1"/>
    <col min="312" max="312" width="5.73046875" bestFit="1" customWidth="1"/>
    <col min="313" max="338" width="7.73046875" bestFit="1" customWidth="1"/>
    <col min="339" max="339" width="5.73046875" bestFit="1" customWidth="1"/>
    <col min="340" max="349" width="7.73046875" bestFit="1" customWidth="1"/>
    <col min="350" max="351" width="5.73046875" bestFit="1" customWidth="1"/>
    <col min="352" max="372" width="7.73046875" bestFit="1" customWidth="1"/>
    <col min="373" max="373" width="5.73046875" bestFit="1" customWidth="1"/>
    <col min="374" max="389" width="7.73046875" bestFit="1" customWidth="1"/>
    <col min="390" max="390" width="5.73046875" bestFit="1" customWidth="1"/>
    <col min="391" max="425" width="7.73046875" bestFit="1" customWidth="1"/>
    <col min="426" max="426" width="5.73046875" bestFit="1" customWidth="1"/>
    <col min="427" max="442" width="7.73046875" bestFit="1" customWidth="1"/>
    <col min="443" max="443" width="5.73046875" bestFit="1" customWidth="1"/>
    <col min="444" max="449" width="7.73046875" bestFit="1" customWidth="1"/>
    <col min="450" max="451" width="5.73046875" bestFit="1" customWidth="1"/>
    <col min="452" max="465" width="7.73046875" bestFit="1" customWidth="1"/>
    <col min="466" max="466" width="5.73046875" bestFit="1" customWidth="1"/>
    <col min="467" max="497" width="7.73046875" bestFit="1" customWidth="1"/>
    <col min="498" max="498" width="5.73046875" bestFit="1" customWidth="1"/>
    <col min="499" max="504" width="7.73046875" bestFit="1" customWidth="1"/>
    <col min="505" max="505" width="8.73046875" bestFit="1" customWidth="1"/>
    <col min="506" max="506" width="6.73046875" bestFit="1" customWidth="1"/>
    <col min="507" max="507" width="8.73046875" bestFit="1" customWidth="1"/>
    <col min="508" max="508" width="10.19921875" bestFit="1" customWidth="1"/>
  </cols>
  <sheetData>
    <row r="4" spans="2:30" x14ac:dyDescent="0.45">
      <c r="B4" s="3" t="s">
        <v>85</v>
      </c>
      <c r="C4" t="s">
        <v>603</v>
      </c>
      <c r="D4" t="s">
        <v>604</v>
      </c>
    </row>
    <row r="5" spans="2:30" x14ac:dyDescent="0.45">
      <c r="B5" s="4" t="s">
        <v>209</v>
      </c>
      <c r="C5">
        <v>90817.599999999977</v>
      </c>
      <c r="D5">
        <v>9</v>
      </c>
    </row>
    <row r="6" spans="2:30" x14ac:dyDescent="0.45">
      <c r="B6" s="4" t="s">
        <v>81</v>
      </c>
      <c r="C6">
        <v>108994.9</v>
      </c>
      <c r="D6">
        <v>7</v>
      </c>
    </row>
    <row r="7" spans="2:30" x14ac:dyDescent="0.45">
      <c r="B7" s="4" t="s">
        <v>521</v>
      </c>
      <c r="C7">
        <v>7738.2</v>
      </c>
      <c r="D7">
        <v>1</v>
      </c>
    </row>
    <row r="8" spans="2:30" x14ac:dyDescent="0.45">
      <c r="B8" s="4" t="s">
        <v>23</v>
      </c>
      <c r="C8">
        <v>60670.7</v>
      </c>
      <c r="D8">
        <v>1</v>
      </c>
      <c r="H8" s="3" t="s">
        <v>610</v>
      </c>
      <c r="I8" t="s">
        <v>609</v>
      </c>
      <c r="J8" t="s">
        <v>603</v>
      </c>
      <c r="O8" s="3" t="s">
        <v>588</v>
      </c>
      <c r="P8" t="s">
        <v>604</v>
      </c>
      <c r="Q8" t="s">
        <v>603</v>
      </c>
      <c r="Y8" s="3" t="s">
        <v>611</v>
      </c>
      <c r="Z8" s="6" t="s">
        <v>612</v>
      </c>
      <c r="AC8" s="3" t="s">
        <v>611</v>
      </c>
      <c r="AD8" s="6" t="s">
        <v>609</v>
      </c>
    </row>
    <row r="9" spans="2:30" x14ac:dyDescent="0.45">
      <c r="B9" s="4" t="s">
        <v>448</v>
      </c>
      <c r="C9">
        <v>8699.2000000000007</v>
      </c>
      <c r="D9">
        <v>1</v>
      </c>
      <c r="H9" s="4" t="s">
        <v>336</v>
      </c>
      <c r="I9">
        <v>2</v>
      </c>
      <c r="J9">
        <v>21439.599999999999</v>
      </c>
      <c r="O9" s="4">
        <v>1939</v>
      </c>
      <c r="P9">
        <v>1</v>
      </c>
      <c r="Q9">
        <v>12421.7</v>
      </c>
      <c r="Y9" s="4" t="s">
        <v>35</v>
      </c>
      <c r="Z9">
        <v>127</v>
      </c>
      <c r="AC9" s="4" t="s">
        <v>7</v>
      </c>
      <c r="AD9">
        <v>88</v>
      </c>
    </row>
    <row r="10" spans="2:30" x14ac:dyDescent="0.45">
      <c r="B10" s="4" t="s">
        <v>153</v>
      </c>
      <c r="C10">
        <v>164439</v>
      </c>
      <c r="D10">
        <v>15</v>
      </c>
      <c r="H10" s="4" t="s">
        <v>44</v>
      </c>
      <c r="I10">
        <v>9</v>
      </c>
      <c r="J10">
        <v>148227.29999999999</v>
      </c>
      <c r="O10" s="4">
        <v>1949</v>
      </c>
      <c r="P10">
        <v>1</v>
      </c>
      <c r="Q10">
        <v>22236.1</v>
      </c>
      <c r="Y10" s="4" t="s">
        <v>5</v>
      </c>
      <c r="Z10">
        <v>373</v>
      </c>
      <c r="AC10" s="4" t="s">
        <v>1</v>
      </c>
      <c r="AD10">
        <v>390</v>
      </c>
    </row>
    <row r="11" spans="2:30" x14ac:dyDescent="0.45">
      <c r="B11" s="4" t="s">
        <v>2</v>
      </c>
      <c r="C11">
        <v>496760.29999999993</v>
      </c>
      <c r="D11">
        <v>18</v>
      </c>
      <c r="H11" s="4" t="s">
        <v>138</v>
      </c>
      <c r="I11">
        <v>3</v>
      </c>
      <c r="J11">
        <v>40651.4</v>
      </c>
      <c r="O11" s="4">
        <v>1954</v>
      </c>
      <c r="P11">
        <v>1</v>
      </c>
      <c r="Q11">
        <v>11588.8</v>
      </c>
      <c r="Y11" s="4" t="s">
        <v>602</v>
      </c>
      <c r="Z11">
        <v>500</v>
      </c>
      <c r="AC11" s="4" t="s">
        <v>65</v>
      </c>
      <c r="AD11">
        <v>22</v>
      </c>
    </row>
    <row r="12" spans="2:30" x14ac:dyDescent="0.45">
      <c r="B12" s="4" t="s">
        <v>322</v>
      </c>
      <c r="C12">
        <v>11566.2</v>
      </c>
      <c r="D12">
        <v>1</v>
      </c>
      <c r="H12" s="4" t="s">
        <v>475</v>
      </c>
      <c r="I12">
        <v>1</v>
      </c>
      <c r="J12">
        <v>8316.5</v>
      </c>
      <c r="O12" s="4">
        <v>1955</v>
      </c>
      <c r="P12">
        <v>1</v>
      </c>
      <c r="Q12">
        <v>7450.6</v>
      </c>
      <c r="AC12" s="4" t="s">
        <v>602</v>
      </c>
      <c r="AD12">
        <v>500</v>
      </c>
    </row>
    <row r="13" spans="2:30" x14ac:dyDescent="0.45">
      <c r="B13" s="4" t="s">
        <v>29</v>
      </c>
      <c r="C13">
        <v>327813.80000000005</v>
      </c>
      <c r="D13">
        <v>16</v>
      </c>
      <c r="H13" s="4" t="s">
        <v>85</v>
      </c>
      <c r="I13">
        <v>10</v>
      </c>
      <c r="J13">
        <v>130286.2</v>
      </c>
      <c r="O13" s="4">
        <v>1962</v>
      </c>
      <c r="P13">
        <v>3</v>
      </c>
      <c r="Q13">
        <v>49494.7</v>
      </c>
    </row>
    <row r="14" spans="2:30" x14ac:dyDescent="0.45">
      <c r="B14" s="4" t="s">
        <v>130</v>
      </c>
      <c r="C14">
        <v>21546.2</v>
      </c>
      <c r="D14">
        <v>1</v>
      </c>
      <c r="H14" s="4" t="s">
        <v>47</v>
      </c>
      <c r="I14">
        <v>22</v>
      </c>
      <c r="J14">
        <v>367096.89999999997</v>
      </c>
      <c r="O14" s="4">
        <v>1963</v>
      </c>
      <c r="P14">
        <v>1</v>
      </c>
      <c r="Q14">
        <v>8197.2000000000007</v>
      </c>
    </row>
    <row r="15" spans="2:30" x14ac:dyDescent="0.45">
      <c r="B15" s="4" t="s">
        <v>556</v>
      </c>
      <c r="C15">
        <v>7335.2</v>
      </c>
      <c r="D15">
        <v>1</v>
      </c>
      <c r="H15" s="4" t="s">
        <v>60</v>
      </c>
      <c r="I15">
        <v>11</v>
      </c>
      <c r="J15">
        <v>151357.9</v>
      </c>
      <c r="O15" s="4">
        <v>1964</v>
      </c>
      <c r="P15">
        <v>2</v>
      </c>
      <c r="Q15">
        <v>37830.600000000006</v>
      </c>
    </row>
    <row r="16" spans="2:30" x14ac:dyDescent="0.45">
      <c r="B16" s="4" t="s">
        <v>427</v>
      </c>
      <c r="C16">
        <v>18016.599999999999</v>
      </c>
      <c r="D16">
        <v>2</v>
      </c>
      <c r="H16" s="4" t="s">
        <v>259</v>
      </c>
      <c r="I16">
        <v>4</v>
      </c>
      <c r="J16">
        <v>39366.799999999996</v>
      </c>
      <c r="O16" s="4">
        <v>1966</v>
      </c>
      <c r="P16">
        <v>1</v>
      </c>
      <c r="Q16">
        <v>8205.4</v>
      </c>
    </row>
    <row r="17" spans="2:17" x14ac:dyDescent="0.45">
      <c r="B17" s="4" t="s">
        <v>465</v>
      </c>
      <c r="C17">
        <v>8439.5</v>
      </c>
      <c r="D17">
        <v>1</v>
      </c>
      <c r="H17" s="4" t="s">
        <v>4</v>
      </c>
      <c r="I17">
        <v>115</v>
      </c>
      <c r="J17">
        <v>2126055.1</v>
      </c>
      <c r="O17" s="4">
        <v>1967</v>
      </c>
      <c r="P17">
        <v>3</v>
      </c>
      <c r="Q17">
        <v>40678.300000000003</v>
      </c>
    </row>
    <row r="18" spans="2:17" x14ac:dyDescent="0.45">
      <c r="B18" s="4" t="s">
        <v>46</v>
      </c>
      <c r="C18">
        <v>100884.5</v>
      </c>
      <c r="D18">
        <v>5</v>
      </c>
      <c r="H18" s="4" t="s">
        <v>34</v>
      </c>
      <c r="I18">
        <v>11</v>
      </c>
      <c r="J18">
        <v>157338.70000000001</v>
      </c>
      <c r="O18" s="4">
        <v>1968</v>
      </c>
      <c r="P18">
        <v>1</v>
      </c>
      <c r="Q18">
        <v>11314.2</v>
      </c>
    </row>
    <row r="19" spans="2:17" x14ac:dyDescent="0.45">
      <c r="B19" s="4" t="s">
        <v>115</v>
      </c>
      <c r="C19">
        <v>81741.7</v>
      </c>
      <c r="D19">
        <v>7</v>
      </c>
      <c r="H19" s="4" t="s">
        <v>69</v>
      </c>
      <c r="I19">
        <v>30</v>
      </c>
      <c r="J19">
        <v>377962.00000000006</v>
      </c>
      <c r="O19" s="4">
        <v>1969</v>
      </c>
      <c r="P19">
        <v>2</v>
      </c>
      <c r="Q19">
        <v>28999.9</v>
      </c>
    </row>
    <row r="20" spans="2:17" x14ac:dyDescent="0.45">
      <c r="B20" s="4" t="s">
        <v>512</v>
      </c>
      <c r="C20">
        <v>7852.2</v>
      </c>
      <c r="D20">
        <v>1</v>
      </c>
      <c r="H20" s="4" t="s">
        <v>278</v>
      </c>
      <c r="I20">
        <v>8</v>
      </c>
      <c r="J20">
        <v>73598.899999999994</v>
      </c>
      <c r="O20" s="4">
        <v>1971</v>
      </c>
      <c r="P20">
        <v>2</v>
      </c>
      <c r="Q20">
        <v>16350.099999999999</v>
      </c>
    </row>
    <row r="21" spans="2:17" x14ac:dyDescent="0.45">
      <c r="B21" s="4" t="s">
        <v>560</v>
      </c>
      <c r="C21">
        <v>7286.8</v>
      </c>
      <c r="D21">
        <v>1</v>
      </c>
      <c r="H21" s="4" t="s">
        <v>579</v>
      </c>
      <c r="I21">
        <v>1</v>
      </c>
      <c r="J21">
        <v>7018.9</v>
      </c>
      <c r="O21" s="4">
        <v>1972</v>
      </c>
      <c r="P21">
        <v>2</v>
      </c>
      <c r="Q21">
        <v>20979.5</v>
      </c>
    </row>
    <row r="22" spans="2:17" x14ac:dyDescent="0.45">
      <c r="B22" s="4" t="s">
        <v>58</v>
      </c>
      <c r="C22">
        <v>186954.7</v>
      </c>
      <c r="D22">
        <v>13</v>
      </c>
      <c r="H22" s="4" t="s">
        <v>9</v>
      </c>
      <c r="I22">
        <v>102</v>
      </c>
      <c r="J22">
        <v>2003601.8000000005</v>
      </c>
      <c r="O22" s="4">
        <v>1973</v>
      </c>
      <c r="P22">
        <v>3</v>
      </c>
      <c r="Q22">
        <v>46497.7</v>
      </c>
    </row>
    <row r="23" spans="2:17" x14ac:dyDescent="0.45">
      <c r="B23" s="4" t="s">
        <v>191</v>
      </c>
      <c r="C23">
        <v>43945.1</v>
      </c>
      <c r="D23">
        <v>4</v>
      </c>
      <c r="H23" s="4" t="s">
        <v>14</v>
      </c>
      <c r="I23">
        <v>31</v>
      </c>
      <c r="J23">
        <v>570698.4</v>
      </c>
      <c r="O23" s="4">
        <v>1975</v>
      </c>
      <c r="P23">
        <v>2</v>
      </c>
      <c r="Q23">
        <v>25632.6</v>
      </c>
    </row>
    <row r="24" spans="2:17" x14ac:dyDescent="0.45">
      <c r="B24" s="4" t="s">
        <v>394</v>
      </c>
      <c r="C24">
        <v>26576.399999999998</v>
      </c>
      <c r="D24">
        <v>3</v>
      </c>
      <c r="H24" s="4" t="s">
        <v>171</v>
      </c>
      <c r="I24">
        <v>2</v>
      </c>
      <c r="J24">
        <v>33196</v>
      </c>
      <c r="O24" s="4">
        <v>1977</v>
      </c>
      <c r="P24">
        <v>3</v>
      </c>
      <c r="Q24">
        <v>23942.699999999997</v>
      </c>
    </row>
    <row r="25" spans="2:17" x14ac:dyDescent="0.45">
      <c r="B25" s="4" t="s">
        <v>170</v>
      </c>
      <c r="C25">
        <v>33196</v>
      </c>
      <c r="D25">
        <v>2</v>
      </c>
      <c r="H25" s="4" t="s">
        <v>12</v>
      </c>
      <c r="I25">
        <v>43</v>
      </c>
      <c r="J25">
        <v>888855.09999999963</v>
      </c>
      <c r="O25" s="4">
        <v>1978</v>
      </c>
      <c r="P25">
        <v>1</v>
      </c>
      <c r="Q25">
        <v>7891.3</v>
      </c>
    </row>
    <row r="26" spans="2:17" x14ac:dyDescent="0.45">
      <c r="B26" s="4" t="s">
        <v>232</v>
      </c>
      <c r="C26">
        <v>25451.5</v>
      </c>
      <c r="D26">
        <v>2</v>
      </c>
      <c r="H26" s="4" t="s">
        <v>77</v>
      </c>
      <c r="I26">
        <v>19</v>
      </c>
      <c r="J26">
        <v>256013.5</v>
      </c>
      <c r="O26" s="4">
        <v>1979</v>
      </c>
      <c r="P26">
        <v>3</v>
      </c>
      <c r="Q26">
        <v>42257.2</v>
      </c>
    </row>
    <row r="27" spans="2:17" x14ac:dyDescent="0.45">
      <c r="B27" s="4" t="s">
        <v>76</v>
      </c>
      <c r="C27">
        <v>332177.90000000002</v>
      </c>
      <c r="D27">
        <v>27</v>
      </c>
      <c r="H27" s="4" t="s">
        <v>38</v>
      </c>
      <c r="I27">
        <v>60</v>
      </c>
      <c r="J27">
        <v>812082.59999999986</v>
      </c>
      <c r="O27" s="4">
        <v>1980</v>
      </c>
      <c r="P27">
        <v>4</v>
      </c>
      <c r="Q27">
        <v>32994.800000000003</v>
      </c>
    </row>
    <row r="28" spans="2:17" x14ac:dyDescent="0.45">
      <c r="B28" s="4" t="s">
        <v>317</v>
      </c>
      <c r="C28">
        <v>11640.6</v>
      </c>
      <c r="D28">
        <v>1</v>
      </c>
      <c r="H28" s="4" t="s">
        <v>155</v>
      </c>
      <c r="I28">
        <v>9</v>
      </c>
      <c r="J28">
        <v>104798.39999999999</v>
      </c>
      <c r="O28" s="4">
        <v>1981</v>
      </c>
      <c r="P28">
        <v>2</v>
      </c>
      <c r="Q28">
        <v>15483.5</v>
      </c>
    </row>
    <row r="29" spans="2:17" x14ac:dyDescent="0.45">
      <c r="B29" s="4" t="s">
        <v>488</v>
      </c>
      <c r="C29">
        <v>8186.9</v>
      </c>
      <c r="D29">
        <v>1</v>
      </c>
      <c r="H29" s="4" t="s">
        <v>442</v>
      </c>
      <c r="I29">
        <v>3</v>
      </c>
      <c r="J29">
        <v>25044.799999999999</v>
      </c>
      <c r="O29" s="4">
        <v>1982</v>
      </c>
      <c r="P29">
        <v>3</v>
      </c>
      <c r="Q29">
        <v>37032.6</v>
      </c>
    </row>
    <row r="30" spans="2:17" x14ac:dyDescent="0.45">
      <c r="B30" s="4" t="s">
        <v>168</v>
      </c>
      <c r="C30">
        <v>31685.8</v>
      </c>
      <c r="D30">
        <v>2</v>
      </c>
      <c r="H30" s="4" t="s">
        <v>126</v>
      </c>
      <c r="I30">
        <v>3</v>
      </c>
      <c r="J30">
        <v>41191.300000000003</v>
      </c>
      <c r="O30" s="4">
        <v>1983</v>
      </c>
      <c r="P30">
        <v>2</v>
      </c>
      <c r="Q30">
        <v>26641.7</v>
      </c>
    </row>
    <row r="31" spans="2:17" x14ac:dyDescent="0.45">
      <c r="B31" s="4" t="s">
        <v>313</v>
      </c>
      <c r="C31">
        <v>11721</v>
      </c>
      <c r="D31">
        <v>1</v>
      </c>
      <c r="H31" s="4" t="s">
        <v>117</v>
      </c>
      <c r="I31">
        <v>1</v>
      </c>
      <c r="J31">
        <v>24607</v>
      </c>
      <c r="O31" s="4">
        <v>1984</v>
      </c>
      <c r="P31">
        <v>3</v>
      </c>
      <c r="Q31">
        <v>45965.399999999994</v>
      </c>
    </row>
    <row r="32" spans="2:17" x14ac:dyDescent="0.45">
      <c r="B32" s="4" t="s">
        <v>335</v>
      </c>
      <c r="C32">
        <v>21439.599999999999</v>
      </c>
      <c r="D32">
        <v>2</v>
      </c>
      <c r="H32" s="4" t="s">
        <v>602</v>
      </c>
      <c r="I32">
        <v>500</v>
      </c>
      <c r="J32">
        <v>8408805.1000000015</v>
      </c>
      <c r="O32" s="4">
        <v>1985</v>
      </c>
      <c r="P32">
        <v>3</v>
      </c>
      <c r="Q32">
        <v>30364</v>
      </c>
    </row>
    <row r="33" spans="2:17" x14ac:dyDescent="0.45">
      <c r="B33" s="4" t="s">
        <v>147</v>
      </c>
      <c r="C33">
        <v>36601.199999999997</v>
      </c>
      <c r="D33">
        <v>2</v>
      </c>
      <c r="O33" s="4">
        <v>1987</v>
      </c>
      <c r="P33">
        <v>1</v>
      </c>
      <c r="Q33">
        <v>9914.4</v>
      </c>
    </row>
    <row r="34" spans="2:17" x14ac:dyDescent="0.45">
      <c r="B34" s="4" t="s">
        <v>504</v>
      </c>
      <c r="C34">
        <v>7934.5</v>
      </c>
      <c r="D34">
        <v>1</v>
      </c>
      <c r="O34" s="4">
        <v>1988</v>
      </c>
      <c r="P34">
        <v>2</v>
      </c>
      <c r="Q34">
        <v>19036.099999999999</v>
      </c>
    </row>
    <row r="35" spans="2:17" x14ac:dyDescent="0.45">
      <c r="B35" s="4" t="s">
        <v>149</v>
      </c>
      <c r="C35">
        <v>19528.3</v>
      </c>
      <c r="D35">
        <v>1</v>
      </c>
      <c r="O35" s="4">
        <v>1989</v>
      </c>
      <c r="P35">
        <v>3</v>
      </c>
      <c r="Q35">
        <v>33899.200000000004</v>
      </c>
    </row>
    <row r="36" spans="2:17" x14ac:dyDescent="0.45">
      <c r="B36" s="4" t="s">
        <v>535</v>
      </c>
      <c r="C36">
        <v>7552.8</v>
      </c>
      <c r="D36">
        <v>1</v>
      </c>
      <c r="O36" s="4">
        <v>1990</v>
      </c>
      <c r="P36">
        <v>3</v>
      </c>
      <c r="Q36">
        <v>71163</v>
      </c>
    </row>
    <row r="37" spans="2:17" x14ac:dyDescent="0.45">
      <c r="B37" s="4" t="s">
        <v>324</v>
      </c>
      <c r="C37">
        <v>11481.4</v>
      </c>
      <c r="D37">
        <v>1</v>
      </c>
      <c r="O37" s="4">
        <v>1991</v>
      </c>
      <c r="P37">
        <v>5</v>
      </c>
      <c r="Q37">
        <v>102778.5</v>
      </c>
    </row>
    <row r="38" spans="2:17" x14ac:dyDescent="0.45">
      <c r="B38" s="4" t="s">
        <v>72</v>
      </c>
      <c r="C38">
        <v>48217.5</v>
      </c>
      <c r="D38">
        <v>2</v>
      </c>
      <c r="O38" s="4">
        <v>1992</v>
      </c>
      <c r="P38">
        <v>4</v>
      </c>
      <c r="Q38">
        <v>48548.3</v>
      </c>
    </row>
    <row r="39" spans="2:17" x14ac:dyDescent="0.45">
      <c r="B39" s="4" t="s">
        <v>183</v>
      </c>
      <c r="C39">
        <v>17056</v>
      </c>
      <c r="D39">
        <v>1</v>
      </c>
      <c r="O39" s="4">
        <v>1993</v>
      </c>
      <c r="P39">
        <v>2</v>
      </c>
      <c r="Q39">
        <v>31613.599999999999</v>
      </c>
    </row>
    <row r="40" spans="2:17" x14ac:dyDescent="0.45">
      <c r="B40" s="4" t="s">
        <v>368</v>
      </c>
      <c r="C40">
        <v>10332.799999999999</v>
      </c>
      <c r="D40">
        <v>1</v>
      </c>
      <c r="O40" s="4">
        <v>1994</v>
      </c>
      <c r="P40">
        <v>6</v>
      </c>
      <c r="Q40">
        <v>82558</v>
      </c>
    </row>
    <row r="41" spans="2:17" x14ac:dyDescent="0.45">
      <c r="B41" s="4" t="s">
        <v>32</v>
      </c>
      <c r="C41">
        <v>157338.70000000001</v>
      </c>
      <c r="D41">
        <v>11</v>
      </c>
      <c r="O41" s="4">
        <v>1995</v>
      </c>
      <c r="P41">
        <v>5</v>
      </c>
      <c r="Q41">
        <v>69244.600000000006</v>
      </c>
    </row>
    <row r="42" spans="2:17" x14ac:dyDescent="0.45">
      <c r="B42" s="4" t="s">
        <v>229</v>
      </c>
      <c r="C42">
        <v>72045.3</v>
      </c>
      <c r="D42">
        <v>6</v>
      </c>
      <c r="O42" s="4">
        <v>1996</v>
      </c>
      <c r="P42">
        <v>6</v>
      </c>
      <c r="Q42">
        <v>136218.69999999998</v>
      </c>
    </row>
    <row r="43" spans="2:17" x14ac:dyDescent="0.45">
      <c r="B43" s="4" t="s">
        <v>134</v>
      </c>
      <c r="C43">
        <v>64792.100000000006</v>
      </c>
      <c r="D43">
        <v>5</v>
      </c>
      <c r="O43" s="4">
        <v>1997</v>
      </c>
      <c r="P43">
        <v>6</v>
      </c>
      <c r="Q43">
        <v>105930.79999999999</v>
      </c>
    </row>
    <row r="44" spans="2:17" x14ac:dyDescent="0.45">
      <c r="B44" s="4" t="s">
        <v>42</v>
      </c>
      <c r="C44">
        <v>43330.3</v>
      </c>
      <c r="D44">
        <v>1</v>
      </c>
      <c r="O44" s="4">
        <v>1998</v>
      </c>
      <c r="P44">
        <v>5</v>
      </c>
      <c r="Q44">
        <v>68119.199999999997</v>
      </c>
    </row>
    <row r="45" spans="2:17" x14ac:dyDescent="0.45">
      <c r="B45" s="4" t="s">
        <v>20</v>
      </c>
      <c r="C45">
        <v>852177.79999999981</v>
      </c>
      <c r="D45">
        <v>55</v>
      </c>
      <c r="O45" s="4">
        <v>1999</v>
      </c>
      <c r="P45">
        <v>10</v>
      </c>
      <c r="Q45">
        <v>139292.4</v>
      </c>
    </row>
    <row r="46" spans="2:17" x14ac:dyDescent="0.45">
      <c r="B46" s="4" t="s">
        <v>8</v>
      </c>
      <c r="C46">
        <v>4786604</v>
      </c>
      <c r="D46">
        <v>265</v>
      </c>
      <c r="O46" s="4">
        <v>2000</v>
      </c>
      <c r="P46">
        <v>8</v>
      </c>
      <c r="Q46">
        <v>111132.7</v>
      </c>
    </row>
    <row r="47" spans="2:17" x14ac:dyDescent="0.45">
      <c r="B47" s="4" t="s">
        <v>373</v>
      </c>
      <c r="C47">
        <v>10234.299999999999</v>
      </c>
      <c r="D47">
        <v>1</v>
      </c>
      <c r="O47" s="4">
        <v>2001</v>
      </c>
      <c r="P47">
        <v>9</v>
      </c>
      <c r="Q47">
        <v>129086.40000000001</v>
      </c>
    </row>
    <row r="48" spans="2:17" x14ac:dyDescent="0.45">
      <c r="B48" s="4" t="s">
        <v>602</v>
      </c>
      <c r="C48">
        <v>8408805.0999999978</v>
      </c>
      <c r="D48">
        <v>500</v>
      </c>
      <c r="O48" s="4">
        <v>2002</v>
      </c>
      <c r="P48">
        <v>12</v>
      </c>
      <c r="Q48">
        <v>164147.40000000002</v>
      </c>
    </row>
    <row r="49" spans="15:17" x14ac:dyDescent="0.45">
      <c r="O49" s="4">
        <v>2003</v>
      </c>
      <c r="P49">
        <v>12</v>
      </c>
      <c r="Q49">
        <v>166718.9</v>
      </c>
    </row>
    <row r="50" spans="15:17" x14ac:dyDescent="0.45">
      <c r="O50" s="4">
        <v>2004</v>
      </c>
      <c r="P50">
        <v>13</v>
      </c>
      <c r="Q50">
        <v>267566</v>
      </c>
    </row>
    <row r="51" spans="15:17" x14ac:dyDescent="0.45">
      <c r="O51" s="4">
        <v>2005</v>
      </c>
      <c r="P51">
        <v>9</v>
      </c>
      <c r="Q51">
        <v>204068.2</v>
      </c>
    </row>
    <row r="52" spans="15:17" x14ac:dyDescent="0.45">
      <c r="O52" s="4">
        <v>2006</v>
      </c>
      <c r="P52">
        <v>21</v>
      </c>
      <c r="Q52">
        <v>512068.50000000006</v>
      </c>
    </row>
    <row r="53" spans="15:17" x14ac:dyDescent="0.45">
      <c r="O53" s="4">
        <v>2007</v>
      </c>
      <c r="P53">
        <v>18</v>
      </c>
      <c r="Q53">
        <v>319899.90000000002</v>
      </c>
    </row>
    <row r="54" spans="15:17" x14ac:dyDescent="0.45">
      <c r="O54" s="4">
        <v>2008</v>
      </c>
      <c r="P54">
        <v>20</v>
      </c>
      <c r="Q54">
        <v>318578.99999999994</v>
      </c>
    </row>
    <row r="55" spans="15:17" x14ac:dyDescent="0.45">
      <c r="O55" s="4">
        <v>2009</v>
      </c>
      <c r="P55">
        <v>24</v>
      </c>
      <c r="Q55">
        <v>524582.30000000005</v>
      </c>
    </row>
    <row r="56" spans="15:17" x14ac:dyDescent="0.45">
      <c r="O56" s="4">
        <v>2010</v>
      </c>
      <c r="P56">
        <v>28</v>
      </c>
      <c r="Q56">
        <v>462725.10000000009</v>
      </c>
    </row>
    <row r="57" spans="15:17" x14ac:dyDescent="0.45">
      <c r="O57" s="4">
        <v>2011</v>
      </c>
      <c r="P57">
        <v>22</v>
      </c>
      <c r="Q57">
        <v>515929.8</v>
      </c>
    </row>
    <row r="58" spans="15:17" x14ac:dyDescent="0.45">
      <c r="O58" s="4">
        <v>2012</v>
      </c>
      <c r="P58">
        <v>27</v>
      </c>
      <c r="Q58">
        <v>451009.19999999995</v>
      </c>
    </row>
    <row r="59" spans="15:17" x14ac:dyDescent="0.45">
      <c r="O59" s="4">
        <v>2013</v>
      </c>
      <c r="P59">
        <v>24</v>
      </c>
      <c r="Q59">
        <v>622682.19999999995</v>
      </c>
    </row>
    <row r="60" spans="15:17" x14ac:dyDescent="0.45">
      <c r="O60" s="4">
        <v>2014</v>
      </c>
      <c r="P60">
        <v>32</v>
      </c>
      <c r="Q60">
        <v>524955.6</v>
      </c>
    </row>
    <row r="61" spans="15:17" x14ac:dyDescent="0.45">
      <c r="O61" s="4">
        <v>2015</v>
      </c>
      <c r="P61">
        <v>29</v>
      </c>
      <c r="Q61">
        <v>493937.9</v>
      </c>
    </row>
    <row r="62" spans="15:17" x14ac:dyDescent="0.45">
      <c r="O62" s="4">
        <v>2016</v>
      </c>
      <c r="P62">
        <v>17</v>
      </c>
      <c r="Q62">
        <v>253198.60000000003</v>
      </c>
    </row>
    <row r="63" spans="15:17" x14ac:dyDescent="0.45">
      <c r="O63" s="4">
        <v>2017</v>
      </c>
      <c r="P63">
        <v>28</v>
      </c>
      <c r="Q63">
        <v>343481.89999999991</v>
      </c>
    </row>
    <row r="64" spans="15:17" x14ac:dyDescent="0.45">
      <c r="O64" s="4">
        <v>2018</v>
      </c>
      <c r="P64">
        <v>14</v>
      </c>
      <c r="Q64">
        <v>180303.09999999998</v>
      </c>
    </row>
    <row r="65" spans="15:17" x14ac:dyDescent="0.45">
      <c r="O65" s="4">
        <v>2019</v>
      </c>
      <c r="P65">
        <v>11</v>
      </c>
      <c r="Q65">
        <v>133562.1</v>
      </c>
    </row>
    <row r="66" spans="15:17" x14ac:dyDescent="0.45">
      <c r="O66" s="4">
        <v>2020</v>
      </c>
      <c r="P66">
        <v>6</v>
      </c>
      <c r="Q66">
        <v>79970.399999999994</v>
      </c>
    </row>
    <row r="67" spans="15:17" x14ac:dyDescent="0.45">
      <c r="O67" s="4">
        <v>2021</v>
      </c>
      <c r="P67">
        <v>4</v>
      </c>
      <c r="Q67">
        <v>54525.7</v>
      </c>
    </row>
    <row r="68" spans="15:17" x14ac:dyDescent="0.45">
      <c r="O68" s="4">
        <v>2022</v>
      </c>
      <c r="P68">
        <v>2</v>
      </c>
      <c r="Q68">
        <v>21886.199999999997</v>
      </c>
    </row>
    <row r="69" spans="15:17" x14ac:dyDescent="0.45">
      <c r="O69" s="4">
        <v>2023</v>
      </c>
      <c r="P69">
        <v>2</v>
      </c>
      <c r="Q69">
        <v>24020.6</v>
      </c>
    </row>
    <row r="70" spans="15:17" x14ac:dyDescent="0.45">
      <c r="O70" s="4" t="s">
        <v>602</v>
      </c>
      <c r="P70">
        <v>500</v>
      </c>
      <c r="Q70">
        <v>8408805.0999999959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6F41-2301-4AAB-A92D-53D1778CE3B9}">
  <dimension ref="B2:M12"/>
  <sheetViews>
    <sheetView workbookViewId="0">
      <selection activeCell="N6" sqref="N6"/>
    </sheetView>
  </sheetViews>
  <sheetFormatPr defaultColWidth="8.6640625" defaultRowHeight="14.25" x14ac:dyDescent="0.45"/>
  <cols>
    <col min="2" max="11" width="11" customWidth="1"/>
  </cols>
  <sheetData>
    <row r="2" spans="2:13" ht="25.15" x14ac:dyDescent="0.7">
      <c r="B2" s="18" t="s">
        <v>596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x14ac:dyDescent="0.4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2:13" x14ac:dyDescent="0.45">
      <c r="J4" s="2"/>
      <c r="K4" s="12"/>
    </row>
    <row r="5" spans="2:13" ht="15.75" customHeight="1" x14ac:dyDescent="0.45">
      <c r="B5" s="20" t="s">
        <v>597</v>
      </c>
      <c r="C5" s="20"/>
      <c r="D5" s="20" t="s">
        <v>598</v>
      </c>
      <c r="E5" s="20"/>
      <c r="F5" s="20" t="s">
        <v>599</v>
      </c>
      <c r="G5" s="20"/>
      <c r="H5" s="20" t="s">
        <v>600</v>
      </c>
      <c r="I5" s="20"/>
      <c r="J5" s="10" t="s">
        <v>601</v>
      </c>
      <c r="K5" s="13"/>
      <c r="L5" s="11"/>
    </row>
    <row r="6" spans="2:13" ht="19.5" customHeight="1" x14ac:dyDescent="0.45">
      <c r="B6" s="16">
        <f>COUNTA([1]Data!$A$2:$A$501)</f>
        <v>500</v>
      </c>
      <c r="C6" s="16"/>
      <c r="D6" s="16">
        <f>SUM([1]Data!$H$2:$H$501)</f>
        <v>8408805.1000000015</v>
      </c>
      <c r="E6" s="16"/>
      <c r="F6" s="16">
        <f>AVERAGE([1]Data!$H$2:$H$501)</f>
        <v>16817.610200000003</v>
      </c>
      <c r="G6" s="16"/>
      <c r="H6" s="17" t="str">
        <f>'[1]Pivot - By Genre'!A2</f>
        <v>Hip-Hop</v>
      </c>
      <c r="I6" s="17"/>
      <c r="J6" s="15"/>
      <c r="K6" s="8"/>
    </row>
    <row r="7" spans="2:13" ht="19.5" customHeight="1" x14ac:dyDescent="0.45">
      <c r="B7" s="16"/>
      <c r="C7" s="16"/>
      <c r="D7" s="16"/>
      <c r="E7" s="16"/>
      <c r="F7" s="16"/>
      <c r="G7" s="16"/>
      <c r="H7" s="17"/>
      <c r="I7" s="17"/>
      <c r="J7" s="7"/>
      <c r="K7" s="7"/>
      <c r="L7" s="11"/>
    </row>
    <row r="8" spans="2:13" x14ac:dyDescent="0.45">
      <c r="J8" s="9"/>
      <c r="K8" s="14"/>
    </row>
    <row r="12" spans="2:13" x14ac:dyDescent="0.45">
      <c r="J12" s="9"/>
    </row>
  </sheetData>
  <mergeCells count="10">
    <mergeCell ref="B6:C7"/>
    <mergeCell ref="D6:E7"/>
    <mergeCell ref="F6:G7"/>
    <mergeCell ref="H6:I7"/>
    <mergeCell ref="B2:M2"/>
    <mergeCell ref="B3:M3"/>
    <mergeCell ref="B5:C5"/>
    <mergeCell ref="D5:E5"/>
    <mergeCell ref="F5:G5"/>
    <mergeCell ref="H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Spotify</vt:lpstr>
      <vt:lpstr>Spotify1 </vt:lpstr>
      <vt:lpstr>Spotify2</vt:lpstr>
      <vt:lpstr>Pivot Table</vt:lpstr>
      <vt:lpstr>Music Arstist Streming Dashboar</vt:lpstr>
      <vt:lpstr>Spotify</vt:lpstr>
      <vt:lpstr>Spotify1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 K</dc:creator>
  <cp:lastModifiedBy>amal vijay</cp:lastModifiedBy>
  <dcterms:created xsi:type="dcterms:W3CDTF">2015-06-05T18:17:20Z</dcterms:created>
  <dcterms:modified xsi:type="dcterms:W3CDTF">2026-08-21T06:54:12Z</dcterms:modified>
</cp:coreProperties>
</file>